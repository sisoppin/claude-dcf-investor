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Returns_DCF" sheetId="4" state="visible" r:id="rId4"/>
    <sheet xmlns:r="http://schemas.openxmlformats.org/officeDocument/2006/relationships" name="Returns_Multi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–&quot;"/>
    <numFmt numFmtId="165" formatCode="#,##0.0;(#,##0.0);&quot;–&quot;"/>
    <numFmt numFmtId="166" formatCode="#,##0;(#,##0);&quot;–&quot;"/>
    <numFmt numFmtId="167" formatCode="0.00%;(0.00%);&quot;–&quot;"/>
    <numFmt numFmtId="168" formatCode="0.0%;(0.0%);&quot;–&quot;"/>
    <numFmt numFmtId="169" formatCode="0.0&quot;x&quot;;(0.0&quot;x&quot;);&quot;–&quot;"/>
    <numFmt numFmtId="170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</font>
    <font>
      <name val="Calibri"/>
      <color rgb="000070C0"/>
    </font>
    <font>
      <name val="Calibri"/>
      <b val="1"/>
      <color rgb="000070C0"/>
    </font>
    <font>
      <name val="Calibri"/>
      <b val="1"/>
      <color rgb="0000000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B050"/>
    </font>
    <font>
      <name val="Calibri"/>
      <b val="1"/>
      <color rgb="0000B05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0E6E6E"/>
      </patternFill>
    </fill>
    <fill>
      <patternFill patternType="solid">
        <fgColor rgb="00B2DFDB"/>
      </patternFill>
    </fill>
    <fill>
      <patternFill patternType="solid">
        <fgColor rgb="008B0000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164" fontId="10" fillId="4" borderId="0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168" fontId="10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7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167" fontId="4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67" fontId="10" fillId="4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8" fontId="6" fillId="4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167" fontId="3" fillId="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6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8" fontId="3" fillId="4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9" fontId="9" fillId="0" borderId="0" applyAlignment="1" pivotButton="0" quotePrefix="0" xfId="0">
      <alignment horizontal="right" vertical="center"/>
    </xf>
    <xf numFmtId="169" fontId="3" fillId="8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TestCo Industries — DCF Valuation</t>
        </is>
      </c>
      <c r="B1" s="2" t="n"/>
      <c r="C1" s="2" t="n"/>
      <c r="D1" s="2" t="n"/>
      <c r="E1" s="2" t="n"/>
    </row>
    <row r="3">
      <c r="A3" s="3" t="inlineStr">
        <is>
          <t>Color legend</t>
        </is>
      </c>
    </row>
    <row r="4">
      <c r="A4" s="4" t="inlineStr">
        <is>
          <t xml:space="preserve">  Blue text</t>
        </is>
      </c>
      <c r="B4" s="5" t="inlineStr">
        <is>
          <t>hardcoded input (Assumptions only)</t>
        </is>
      </c>
    </row>
    <row r="5">
      <c r="A5" s="6" t="inlineStr">
        <is>
          <t xml:space="preserve">  Black text</t>
        </is>
      </c>
      <c r="B5" s="5" t="inlineStr">
        <is>
          <t>formula</t>
        </is>
      </c>
    </row>
    <row r="6">
      <c r="A6" s="7" t="inlineStr">
        <is>
          <t xml:space="preserve">  Green text</t>
        </is>
      </c>
      <c r="B6" s="5" t="inlineStr">
        <is>
          <t>cross-sheet link</t>
        </is>
      </c>
    </row>
    <row r="7">
      <c r="A7" s="8" t="inlineStr">
        <is>
          <t xml:space="preserve">  Yellow background</t>
        </is>
      </c>
      <c r="B7" s="5" t="inlineStr">
        <is>
          <t>key cells / CMP / 20% IRR row</t>
        </is>
      </c>
    </row>
    <row r="9">
      <c r="A9" s="9" t="inlineStr">
        <is>
          <t>VALUATION SUMMARY</t>
        </is>
      </c>
      <c r="B9" s="10" t="n"/>
      <c r="C9" s="10" t="n"/>
      <c r="D9" s="10" t="n"/>
      <c r="E9" s="10" t="n"/>
    </row>
    <row r="10">
      <c r="A10" s="11" t="inlineStr">
        <is>
          <t>Metric</t>
        </is>
      </c>
      <c r="B10" s="12" t="inlineStr">
        <is>
          <t>Bear</t>
        </is>
      </c>
      <c r="C10" s="12" t="inlineStr">
        <is>
          <t>Base</t>
        </is>
      </c>
      <c r="D10" s="12" t="inlineStr">
        <is>
          <t>Bull</t>
        </is>
      </c>
    </row>
    <row r="11">
      <c r="A11" s="6" t="inlineStr">
        <is>
          <t>Revenue (FY35)</t>
        </is>
      </c>
      <c r="B11" s="13">
        <f>'DCF'!$M$7</f>
        <v/>
      </c>
      <c r="C11" s="13">
        <f>'DCF'!$M$8</f>
        <v/>
      </c>
      <c r="D11" s="13">
        <f>'DCF'!$M$9</f>
        <v/>
      </c>
    </row>
    <row r="12">
      <c r="A12" s="6" t="inlineStr">
        <is>
          <t>EBITDA (FY35)</t>
        </is>
      </c>
      <c r="B12" s="13">
        <f>'DCF'!$M$21</f>
        <v/>
      </c>
      <c r="C12" s="13">
        <f>'DCF'!$M$24</f>
        <v/>
      </c>
      <c r="D12" s="13">
        <f>'DCF'!$M$27</f>
        <v/>
      </c>
    </row>
    <row r="13">
      <c r="A13" s="6" t="inlineStr">
        <is>
          <t>FCFF (FY35)</t>
        </is>
      </c>
      <c r="B13" s="13">
        <f>'DCF'!$M$42</f>
        <v/>
      </c>
      <c r="C13" s="13">
        <f>'DCF'!$M$57</f>
        <v/>
      </c>
      <c r="D13" s="13">
        <f>'DCF'!$M$72</f>
        <v/>
      </c>
    </row>
    <row r="14">
      <c r="A14" s="6" t="inlineStr">
        <is>
          <t>Sum PV(FCFFs)</t>
        </is>
      </c>
      <c r="B14" s="13">
        <f>'DCF'!$B$89</f>
        <v/>
      </c>
      <c r="C14" s="13">
        <f>'DCF'!$C$89</f>
        <v/>
      </c>
      <c r="D14" s="13">
        <f>'DCF'!$D$89</f>
        <v/>
      </c>
    </row>
    <row r="15">
      <c r="A15" s="6" t="inlineStr">
        <is>
          <t>Terminal Value</t>
        </is>
      </c>
      <c r="B15" s="13">
        <f>'DCF'!$B$91</f>
        <v/>
      </c>
      <c r="C15" s="13">
        <f>'DCF'!$C$91</f>
        <v/>
      </c>
      <c r="D15" s="13">
        <f>'DCF'!$D$91</f>
        <v/>
      </c>
    </row>
    <row r="16">
      <c r="A16" s="6" t="inlineStr">
        <is>
          <t>Enterprise Value</t>
        </is>
      </c>
      <c r="B16" s="13">
        <f>'DCF'!$B$93</f>
        <v/>
      </c>
      <c r="C16" s="13">
        <f>'DCF'!$C$93</f>
        <v/>
      </c>
      <c r="D16" s="13">
        <f>'DCF'!$D$93</f>
        <v/>
      </c>
    </row>
    <row r="17">
      <c r="A17" s="6" t="inlineStr">
        <is>
          <t>Equity Value</t>
        </is>
      </c>
      <c r="B17" s="13">
        <f>'DCF'!$B$95</f>
        <v/>
      </c>
      <c r="C17" s="13">
        <f>'DCF'!$C$95</f>
        <v/>
      </c>
      <c r="D17" s="13">
        <f>'DCF'!$D$95</f>
        <v/>
      </c>
    </row>
    <row r="18">
      <c r="A18" s="14" t="inlineStr">
        <is>
          <t>Implied Price per Share</t>
        </is>
      </c>
      <c r="B18" s="15">
        <f>'DCF'!$B$97</f>
        <v/>
      </c>
      <c r="C18" s="15">
        <f>'DCF'!$C$97</f>
        <v/>
      </c>
      <c r="D18" s="15">
        <f>'DCF'!$D$97</f>
        <v/>
      </c>
    </row>
    <row r="19">
      <c r="A19" s="8" t="inlineStr">
        <is>
          <t>CMP</t>
        </is>
      </c>
      <c r="B19" s="16">
        <f>'Assumptions'!$B$8</f>
        <v/>
      </c>
      <c r="C19" s="16">
        <f>'Assumptions'!$B$8</f>
        <v/>
      </c>
      <c r="D19" s="16">
        <f>'Assumptions'!$B$8</f>
        <v/>
      </c>
    </row>
    <row r="20">
      <c r="A20" s="14" t="inlineStr">
        <is>
          <t>Upside vs CMP</t>
        </is>
      </c>
      <c r="B20" s="17">
        <f>'DCF'!$B$99</f>
        <v/>
      </c>
      <c r="C20" s="17">
        <f>'DCF'!$C$99</f>
        <v/>
      </c>
      <c r="D20" s="17">
        <f>'DCF'!$D$99</f>
        <v/>
      </c>
    </row>
    <row r="22">
      <c r="A22" s="9" t="inlineStr">
        <is>
          <t>KEY OBSERVATIONS</t>
        </is>
      </c>
      <c r="B22" s="10" t="n"/>
      <c r="C22" s="10" t="n"/>
      <c r="D22" s="10" t="n"/>
      <c r="E22" s="10" t="n"/>
    </row>
    <row r="23">
      <c r="A23" s="6" t="inlineStr">
        <is>
          <t xml:space="preserve">  • Base case implies modest upside vs CMP; high sensitivity to WACC</t>
        </is>
      </c>
    </row>
    <row r="24">
      <c r="A24" s="6" t="inlineStr">
        <is>
          <t xml:space="preserve">  • Multiple-based exit yields wider range vs DCF intrinsic</t>
        </is>
      </c>
    </row>
    <row r="25">
      <c r="A25" s="6" t="inlineStr">
        <is>
          <t xml:space="preserve">  • Reverse DCF: implied TGR exceeds Base — market pricing in stronger growth</t>
        </is>
      </c>
    </row>
    <row r="27">
      <c r="A27" s="9" t="inlineStr">
        <is>
          <t>ESTIMATED INPUTS (flagged)</t>
        </is>
      </c>
      <c r="B27" s="10" t="n"/>
      <c r="C27" s="10" t="n"/>
      <c r="D27" s="10" t="n"/>
      <c r="E27" s="10" t="n"/>
    </row>
    <row r="28">
      <c r="A28" s="18" t="inlineStr">
        <is>
          <t xml:space="preserve">  • beta: ESTIMATED — basis: 2y weekly regression on Yahoo data</t>
        </is>
      </c>
    </row>
  </sheetData>
  <printOptions horizontalCentered="0"/>
  <pageMargins left="0.4" right="0.4" top="0.5" bottom="0.5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 ht="22" customHeight="1">
      <c r="A1" s="1" t="inlineStr">
        <is>
          <t>ASSUMPTIONS — TestCo Industries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9" t="inlineStr">
        <is>
          <t>COMPANY</t>
        </is>
      </c>
      <c r="B3" s="10" t="n"/>
      <c r="C3" s="10" t="n"/>
      <c r="D3" s="10" t="n"/>
      <c r="E3" s="10" t="n"/>
      <c r="F3" s="10" t="n"/>
      <c r="G3" s="10" t="n"/>
      <c r="H3" s="10" t="n"/>
    </row>
    <row r="4">
      <c r="A4" s="6" t="inlineStr">
        <is>
          <t>Company name</t>
        </is>
      </c>
      <c r="B4" s="19" t="inlineStr">
        <is>
          <t>TestCo Industries</t>
        </is>
      </c>
    </row>
    <row r="5">
      <c r="A5" s="6" t="inlineStr">
        <is>
          <t>Ticker</t>
        </is>
      </c>
      <c r="B5" s="19" t="inlineStr">
        <is>
          <t>TESTCO.NS</t>
        </is>
      </c>
    </row>
    <row r="6">
      <c r="A6" s="6" t="inlineStr">
        <is>
          <t>Currency</t>
        </is>
      </c>
      <c r="B6" s="19" t="inlineStr">
        <is>
          <t>INR</t>
        </is>
      </c>
    </row>
    <row r="7">
      <c r="A7" s="6" t="inlineStr">
        <is>
          <t>FY end</t>
        </is>
      </c>
      <c r="B7" s="19" t="inlineStr">
        <is>
          <t>Mar</t>
        </is>
      </c>
    </row>
    <row r="8">
      <c r="A8" s="6" t="inlineStr">
        <is>
          <t>Current Market Price (CMP)</t>
        </is>
      </c>
      <c r="B8" s="20" t="n">
        <v>1500</v>
      </c>
    </row>
    <row r="9">
      <c r="A9" s="6" t="inlineStr">
        <is>
          <t>Diluted shares outstanding (mn)</t>
        </is>
      </c>
      <c r="B9" s="21" t="n">
        <v>100</v>
      </c>
    </row>
    <row r="10">
      <c r="A10" s="6" t="inlineStr">
        <is>
          <t>Net cash (Cash − Debt)</t>
        </is>
      </c>
      <c r="B10" s="22" t="n">
        <v>-5000</v>
      </c>
    </row>
    <row r="12">
      <c r="A12" s="9" t="inlineStr">
        <is>
          <t>WACC BUILD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1" t="inlineStr">
        <is>
          <t>Component</t>
        </is>
      </c>
      <c r="B13" s="23" t="inlineStr">
        <is>
          <t>Value</t>
        </is>
      </c>
      <c r="H13" s="11" t="inlineStr">
        <is>
          <t>Source / Rationale</t>
        </is>
      </c>
    </row>
    <row r="14">
      <c r="A14" s="6" t="inlineStr">
        <is>
          <t>Risk-free rate (Rf, 10y govt bond)</t>
        </is>
      </c>
      <c r="B14" s="24" t="n">
        <v>0.07099999999999999</v>
      </c>
      <c r="H14" s="5" t="inlineStr">
        <is>
          <t>Rf: 10y G-Sec; ERP: Damodaran India Jul-26</t>
        </is>
      </c>
    </row>
    <row r="15">
      <c r="A15" s="6" t="inlineStr">
        <is>
          <t>Equity risk premium (ERP, Damodaran)</t>
        </is>
      </c>
      <c r="B15" s="24" t="n">
        <v>0.075</v>
      </c>
    </row>
    <row r="16">
      <c r="A16" s="6" t="inlineStr">
        <is>
          <t>Beta (2y weekly vs benchmark)</t>
        </is>
      </c>
      <c r="B16" s="25" t="n">
        <v>1.1</v>
      </c>
    </row>
    <row r="17">
      <c r="A17" s="6" t="inlineStr">
        <is>
          <t>Cost of equity (Ke = Rf + β × ERP)</t>
        </is>
      </c>
      <c r="B17" s="26">
        <f>B14+B16*B15</f>
        <v/>
      </c>
    </row>
    <row r="18">
      <c r="A18" s="6" t="inlineStr">
        <is>
          <t>Cost of debt (Kd, pre-tax)</t>
        </is>
      </c>
      <c r="B18" s="24" t="n">
        <v>0.08500000000000001</v>
      </c>
    </row>
    <row r="19">
      <c r="A19" s="6" t="inlineStr">
        <is>
          <t>Tax rate</t>
        </is>
      </c>
      <c r="B19" s="24" t="n">
        <v>0.252</v>
      </c>
    </row>
    <row r="20">
      <c r="A20" s="6" t="inlineStr">
        <is>
          <t>Kd after-tax = Kd × (1 − T)</t>
        </is>
      </c>
      <c r="B20" s="26">
        <f>B18*(1-B19)</f>
        <v/>
      </c>
    </row>
    <row r="21">
      <c r="A21" s="6" t="inlineStr">
        <is>
          <t>Equity weight</t>
        </is>
      </c>
      <c r="B21" s="27" t="n">
        <v>0.85</v>
      </c>
    </row>
    <row r="22">
      <c r="A22" s="6" t="inlineStr">
        <is>
          <t>Debt weight = 1 − Equity weight</t>
        </is>
      </c>
      <c r="B22" s="28">
        <f>1-B21</f>
        <v/>
      </c>
    </row>
    <row r="23">
      <c r="A23" s="6" t="inlineStr">
        <is>
          <t>WACC = Ke × wₑ + Kd_AT × w_d</t>
        </is>
      </c>
      <c r="B23" s="29">
        <f>B17*B21+B20*B22</f>
        <v/>
      </c>
    </row>
    <row r="25">
      <c r="A25" s="9" t="inlineStr">
        <is>
          <t>SCENARIO ASSUMPTIONS</t>
        </is>
      </c>
      <c r="B25" s="10" t="n"/>
      <c r="C25" s="10" t="n"/>
      <c r="D25" s="10" t="n"/>
      <c r="E25" s="10" t="n"/>
      <c r="F25" s="10" t="n"/>
      <c r="G25" s="10" t="n"/>
      <c r="H25" s="10" t="n"/>
    </row>
    <row r="26">
      <c r="A26" s="11" t="inlineStr">
        <is>
          <t>Driver</t>
        </is>
      </c>
      <c r="B26" s="12" t="inlineStr">
        <is>
          <t>Bear</t>
        </is>
      </c>
      <c r="C26" s="12" t="inlineStr">
        <is>
          <t>Base</t>
        </is>
      </c>
      <c r="D26" s="12" t="inlineStr">
        <is>
          <t>Bull</t>
        </is>
      </c>
      <c r="H26" s="11" t="inlineStr">
        <is>
          <t>Rationale</t>
        </is>
      </c>
    </row>
    <row r="27">
      <c r="A27" s="6" t="inlineStr">
        <is>
          <t>Revenue CAGR Phase 1 (FY26–FY30)</t>
        </is>
      </c>
      <c r="B27" s="27" t="n">
        <v>0.07000000000000001</v>
      </c>
      <c r="C27" s="27" t="n">
        <v>0.12</v>
      </c>
      <c r="D27" s="27" t="n">
        <v>0.18</v>
      </c>
      <c r="H27" s="30" t="inlineStr">
        <is>
          <t>Mgmt guidance: revenue 12-14% CAGR</t>
        </is>
      </c>
    </row>
    <row r="28">
      <c r="A28" s="6" t="inlineStr">
        <is>
          <t>Revenue CAGR Phase 2 (FY31–FY35)</t>
        </is>
      </c>
      <c r="B28" s="27" t="n">
        <v>0.04</v>
      </c>
      <c r="C28" s="27" t="n">
        <v>0.07000000000000001</v>
      </c>
      <c r="D28" s="27" t="n">
        <v>0.1</v>
      </c>
      <c r="H28" s="30" t="inlineStr"/>
    </row>
    <row r="29">
      <c r="A29" s="6" t="inlineStr">
        <is>
          <t>EBITDA margin (terminal year)</t>
        </is>
      </c>
      <c r="B29" s="27" t="n">
        <v>0.16</v>
      </c>
      <c r="C29" s="27" t="n">
        <v>0.2</v>
      </c>
      <c r="D29" s="27" t="n">
        <v>0.24</v>
      </c>
      <c r="H29" s="30" t="inlineStr"/>
    </row>
    <row r="30">
      <c r="A30" s="6" t="inlineStr">
        <is>
          <t>Tax rate (steady-state)</t>
        </is>
      </c>
      <c r="B30" s="24" t="n">
        <v>0.252</v>
      </c>
      <c r="C30" s="24" t="n">
        <v>0.252</v>
      </c>
      <c r="D30" s="24" t="n">
        <v>0.252</v>
      </c>
      <c r="H30" s="30" t="inlineStr"/>
    </row>
    <row r="31">
      <c r="A31" s="6" t="inlineStr">
        <is>
          <t>Capex % of revenue</t>
        </is>
      </c>
      <c r="B31" s="27" t="n">
        <v>0.045</v>
      </c>
      <c r="C31" s="27" t="n">
        <v>0.04</v>
      </c>
      <c r="D31" s="27" t="n">
        <v>0.038</v>
      </c>
      <c r="H31" s="30" t="inlineStr"/>
    </row>
    <row r="32">
      <c r="A32" s="6" t="inlineStr">
        <is>
          <t>D&amp;A % of revenue</t>
        </is>
      </c>
      <c r="B32" s="27" t="n">
        <v>0.03</v>
      </c>
      <c r="C32" s="27" t="n">
        <v>0.03</v>
      </c>
      <c r="D32" s="27" t="n">
        <v>0.03</v>
      </c>
      <c r="H32" s="30" t="inlineStr"/>
    </row>
    <row r="33">
      <c r="A33" s="6" t="inlineStr">
        <is>
          <t>ΔNWC % of revenue</t>
        </is>
      </c>
      <c r="B33" s="27" t="n">
        <v>0.02</v>
      </c>
      <c r="C33" s="27" t="n">
        <v>0.02</v>
      </c>
      <c r="D33" s="27" t="n">
        <v>0.02</v>
      </c>
      <c r="H33" s="30" t="inlineStr"/>
    </row>
    <row r="34">
      <c r="A34" s="6" t="inlineStr">
        <is>
          <t>Terminal growth rate (TGR)</t>
        </is>
      </c>
      <c r="B34" s="31" t="n">
        <v>0.03</v>
      </c>
      <c r="C34" s="31" t="n">
        <v>0.04</v>
      </c>
      <c r="D34" s="31" t="n">
        <v>0.05</v>
      </c>
      <c r="H34" s="30" t="inlineStr"/>
    </row>
    <row r="36">
      <c r="A36" s="9" t="inlineStr">
        <is>
          <t>HISTORICAL ACTUALS</t>
        </is>
      </c>
      <c r="B36" s="10" t="n"/>
      <c r="C36" s="10" t="n"/>
      <c r="D36" s="10" t="n"/>
      <c r="E36" s="10" t="n"/>
      <c r="F36" s="10" t="n"/>
      <c r="G36" s="10" t="n"/>
      <c r="H36" s="10" t="n"/>
    </row>
    <row r="37">
      <c r="A37" s="11" t="inlineStr">
        <is>
          <t>Line item</t>
        </is>
      </c>
      <c r="B37" s="12" t="inlineStr">
        <is>
          <t>FY23</t>
        </is>
      </c>
      <c r="C37" s="12" t="inlineStr">
        <is>
          <t>FY24</t>
        </is>
      </c>
      <c r="H37" s="11" t="inlineStr">
        <is>
          <t>Source</t>
        </is>
      </c>
    </row>
    <row r="38">
      <c r="A38" s="6" t="inlineStr">
        <is>
          <t>Revenue</t>
        </is>
      </c>
      <c r="B38" s="22" t="n">
        <v>50000</v>
      </c>
      <c r="C38" s="22" t="n">
        <v>58000</v>
      </c>
    </row>
    <row r="39">
      <c r="A39" s="6" t="inlineStr">
        <is>
          <t>EBITDA</t>
        </is>
      </c>
      <c r="B39" s="22" t="n">
        <v>9000</v>
      </c>
      <c r="C39" s="22" t="n">
        <v>11000</v>
      </c>
    </row>
    <row r="40">
      <c r="A40" s="6" t="inlineStr">
        <is>
          <t>D&amp;A</t>
        </is>
      </c>
      <c r="B40" s="22" t="n">
        <v>1500</v>
      </c>
      <c r="C40" s="22" t="n">
        <v>1700</v>
      </c>
    </row>
    <row r="41">
      <c r="A41" s="6" t="inlineStr">
        <is>
          <t>Capex</t>
        </is>
      </c>
      <c r="B41" s="22" t="n">
        <v>2200</v>
      </c>
      <c r="C41" s="22" t="n">
        <v>2400</v>
      </c>
    </row>
    <row r="42">
      <c r="A42" s="6" t="inlineStr">
        <is>
          <t>ΔNWC</t>
        </is>
      </c>
      <c r="B42" s="22" t="n">
        <v>800</v>
      </c>
      <c r="C42" s="22" t="n">
        <v>950</v>
      </c>
    </row>
    <row r="43">
      <c r="A43" s="6" t="inlineStr">
        <is>
          <t>Effective tax rate</t>
        </is>
      </c>
      <c r="B43" s="24" t="n">
        <v>0.252</v>
      </c>
      <c r="C43" s="24" t="n">
        <v>0.248</v>
      </c>
    </row>
    <row r="45">
      <c r="A45" s="9" t="inlineStr">
        <is>
          <t>PEER COMPS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>
      <c r="A46" s="32" t="inlineStr">
        <is>
          <t>Peer</t>
        </is>
      </c>
      <c r="B46" s="12" t="inlineStr">
        <is>
          <t>EV/NTM Rev</t>
        </is>
      </c>
      <c r="C46" s="12" t="inlineStr">
        <is>
          <t>NTM Rev CAGR</t>
        </is>
      </c>
      <c r="D46" s="12" t="inlineStr">
        <is>
          <t>NTM EBITDA Margin</t>
        </is>
      </c>
      <c r="E46" s="12" t="inlineStr">
        <is>
          <t>EV/NTM EBITDA</t>
        </is>
      </c>
    </row>
    <row r="47">
      <c r="A47" s="19" t="inlineStr">
        <is>
          <t>Peer A</t>
        </is>
      </c>
      <c r="B47" s="33" t="n">
        <v>4.2</v>
      </c>
      <c r="C47" s="27" t="n">
        <v>0.14</v>
      </c>
      <c r="D47" s="27" t="n">
        <v>0.22</v>
      </c>
      <c r="E47" s="33" t="n">
        <v>19</v>
      </c>
    </row>
    <row r="48">
      <c r="A48" s="19" t="inlineStr">
        <is>
          <t>Peer B</t>
        </is>
      </c>
      <c r="B48" s="33" t="n">
        <v>3.5</v>
      </c>
      <c r="C48" s="27" t="n">
        <v>0.1</v>
      </c>
      <c r="D48" s="27" t="n">
        <v>0.18</v>
      </c>
      <c r="E48" s="33" t="n">
        <v>16.5</v>
      </c>
    </row>
    <row r="49">
      <c r="A49" s="19" t="inlineStr">
        <is>
          <t>Peer C</t>
        </is>
      </c>
      <c r="B49" s="33" t="n">
        <v>5.1</v>
      </c>
      <c r="C49" s="27" t="n">
        <v>0.18</v>
      </c>
      <c r="D49" s="27" t="n">
        <v>0.25</v>
      </c>
      <c r="E49" s="33" t="n">
        <v>21</v>
      </c>
    </row>
    <row r="50">
      <c r="A50" s="19" t="inlineStr">
        <is>
          <t>Peer D</t>
        </is>
      </c>
      <c r="B50" s="33" t="n">
        <v>2.8</v>
      </c>
      <c r="C50" s="27" t="n">
        <v>0.08</v>
      </c>
      <c r="D50" s="27" t="n">
        <v>0.16</v>
      </c>
      <c r="E50" s="33" t="n">
        <v>14</v>
      </c>
    </row>
    <row r="51">
      <c r="A51" s="34" t="inlineStr">
        <is>
          <t>Mean</t>
        </is>
      </c>
      <c r="B51" s="35">
        <f>AVERAGE(B47:B50)</f>
        <v/>
      </c>
      <c r="C51" s="28">
        <f>AVERAGE(C47:C50)</f>
        <v/>
      </c>
      <c r="D51" s="28">
        <f>AVERAGE(D47:D50)</f>
        <v/>
      </c>
      <c r="E51" s="35">
        <f>AVERAGE(E47:E50)</f>
        <v/>
      </c>
    </row>
    <row r="52">
      <c r="A52" s="34" t="inlineStr">
        <is>
          <t>Median</t>
        </is>
      </c>
      <c r="B52" s="35">
        <f>MEDIAN(B47:B50)</f>
        <v/>
      </c>
      <c r="C52" s="28">
        <f>MEDIAN(C47:C50)</f>
        <v/>
      </c>
      <c r="D52" s="28">
        <f>MEDIAN(D47:D50)</f>
        <v/>
      </c>
      <c r="E52" s="35">
        <f>MEDIAN(E47:E50)</f>
        <v/>
      </c>
    </row>
    <row r="54">
      <c r="A54" s="9" t="inlineStr">
        <is>
          <t>EXIT MULTIPLE</t>
        </is>
      </c>
      <c r="B54" s="10" t="n"/>
      <c r="C54" s="10" t="n"/>
      <c r="D54" s="10" t="n"/>
      <c r="E54" s="10" t="n"/>
      <c r="F54" s="10" t="n"/>
      <c r="G54" s="10" t="n"/>
      <c r="H54" s="10" t="n"/>
    </row>
    <row r="55">
      <c r="A55" s="6" t="inlineStr">
        <is>
          <t>Multiple type</t>
        </is>
      </c>
      <c r="B55" s="36" t="inlineStr">
        <is>
          <t>EV/EBITDA</t>
        </is>
      </c>
      <c r="H55" s="30" t="inlineStr">
        <is>
          <t>Mature profitable cash-flow generator → EBITDA multiple</t>
        </is>
      </c>
    </row>
    <row r="56">
      <c r="A56" s="6" t="inlineStr">
        <is>
          <t>Metric year</t>
        </is>
      </c>
      <c r="B56" s="36" t="inlineStr">
        <is>
          <t>FY30</t>
        </is>
      </c>
    </row>
    <row r="57">
      <c r="A57" s="6" t="inlineStr">
        <is>
          <t>Exit multiple</t>
        </is>
      </c>
      <c r="B57" s="12" t="inlineStr">
        <is>
          <t>Bear</t>
        </is>
      </c>
      <c r="C57" s="12" t="inlineStr">
        <is>
          <t>Base</t>
        </is>
      </c>
      <c r="D57" s="12" t="inlineStr">
        <is>
          <t>Bull</t>
        </is>
      </c>
    </row>
    <row r="58">
      <c r="A58" s="6" t="inlineStr">
        <is>
          <t xml:space="preserve">  multiple (x)</t>
        </is>
      </c>
      <c r="B58" s="33" t="n">
        <v>12</v>
      </c>
      <c r="C58" s="33" t="n">
        <v>17</v>
      </c>
      <c r="D58" s="33" t="n">
        <v>22</v>
      </c>
    </row>
    <row r="60">
      <c r="A60" s="9" t="inlineStr">
        <is>
          <t>ESTIMATED INPUTS (flagged)</t>
        </is>
      </c>
      <c r="B60" s="10" t="n"/>
      <c r="C60" s="10" t="n"/>
      <c r="D60" s="10" t="n"/>
      <c r="E60" s="10" t="n"/>
      <c r="F60" s="10" t="n"/>
      <c r="G60" s="10" t="n"/>
      <c r="H60" s="10" t="n"/>
    </row>
    <row r="61">
      <c r="A61" s="18" t="inlineStr">
        <is>
          <t xml:space="preserve">  • beta: ESTIMATED — basis: 2y weekly regression on Yahoo data</t>
        </is>
      </c>
    </row>
  </sheetData>
  <printOptions horizontalCentered="0"/>
  <pageMargins left="0.4" right="0.4" top="0.5" bottom="0.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DCF MODEL — TestCo Industries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9" t="inlineStr">
        <is>
          <t>§ 1  REVENUE BUILD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11" t="inlineStr">
        <is>
          <t>Year</t>
        </is>
      </c>
      <c r="B4" s="12" t="inlineStr">
        <is>
          <t>FY23A</t>
        </is>
      </c>
      <c r="C4" s="12" t="inlineStr">
        <is>
          <t>FY24A</t>
        </is>
      </c>
      <c r="D4" s="12" t="inlineStr">
        <is>
          <t>FY26E</t>
        </is>
      </c>
      <c r="E4" s="12" t="inlineStr">
        <is>
          <t>FY27E</t>
        </is>
      </c>
      <c r="F4" s="12" t="inlineStr">
        <is>
          <t>FY28E</t>
        </is>
      </c>
      <c r="G4" s="12" t="inlineStr">
        <is>
          <t>FY29E</t>
        </is>
      </c>
      <c r="H4" s="12" t="inlineStr">
        <is>
          <t>FY30E</t>
        </is>
      </c>
      <c r="I4" s="12" t="inlineStr">
        <is>
          <t>FY31E</t>
        </is>
      </c>
      <c r="J4" s="12" t="inlineStr">
        <is>
          <t>FY32E</t>
        </is>
      </c>
      <c r="K4" s="12" t="inlineStr">
        <is>
          <t>FY33E</t>
        </is>
      </c>
      <c r="L4" s="12" t="inlineStr">
        <is>
          <t>FY34E</t>
        </is>
      </c>
      <c r="M4" s="12" t="inlineStr">
        <is>
          <t>FY35E</t>
        </is>
      </c>
    </row>
    <row r="5">
      <c r="A5" s="6" t="inlineStr">
        <is>
          <t>Revenue (historical)</t>
        </is>
      </c>
      <c r="B5" s="13">
        <f>'Assumptions'!$B$38</f>
        <v/>
      </c>
      <c r="C5" s="13">
        <f>'Assumptions'!$C$38</f>
        <v/>
      </c>
    </row>
    <row r="7">
      <c r="A7" s="3" t="inlineStr">
        <is>
          <t>Revenue — Bear</t>
        </is>
      </c>
      <c r="B7" s="37">
        <f>B5</f>
        <v/>
      </c>
      <c r="C7" s="37">
        <f>C5</f>
        <v/>
      </c>
      <c r="D7" s="37">
        <f>C7*(1+'Assumptions'!$B$27)</f>
        <v/>
      </c>
      <c r="E7" s="37">
        <f>D7*(1+'Assumptions'!$B$27)</f>
        <v/>
      </c>
      <c r="F7" s="37">
        <f>E7*(1+'Assumptions'!$B$27)</f>
        <v/>
      </c>
      <c r="G7" s="37">
        <f>F7*(1+'Assumptions'!$B$27)</f>
        <v/>
      </c>
      <c r="H7" s="37">
        <f>G7*(1+'Assumptions'!$B$27)</f>
        <v/>
      </c>
      <c r="I7" s="37">
        <f>H7*(1+'Assumptions'!$B$28)</f>
        <v/>
      </c>
      <c r="J7" s="37">
        <f>I7*(1+'Assumptions'!$B$28)</f>
        <v/>
      </c>
      <c r="K7" s="37">
        <f>J7*(1+'Assumptions'!$B$28)</f>
        <v/>
      </c>
      <c r="L7" s="37">
        <f>K7*(1+'Assumptions'!$B$28)</f>
        <v/>
      </c>
      <c r="M7" s="37">
        <f>L7*(1+'Assumptions'!$B$28)</f>
        <v/>
      </c>
    </row>
    <row r="8">
      <c r="A8" s="3" t="inlineStr">
        <is>
          <t>Revenue — Base</t>
        </is>
      </c>
      <c r="B8" s="37">
        <f>B5</f>
        <v/>
      </c>
      <c r="C8" s="37">
        <f>C5</f>
        <v/>
      </c>
      <c r="D8" s="37">
        <f>C8*(1+'Assumptions'!$C$27)</f>
        <v/>
      </c>
      <c r="E8" s="37">
        <f>D8*(1+'Assumptions'!$C$27)</f>
        <v/>
      </c>
      <c r="F8" s="37">
        <f>E8*(1+'Assumptions'!$C$27)</f>
        <v/>
      </c>
      <c r="G8" s="37">
        <f>F8*(1+'Assumptions'!$C$27)</f>
        <v/>
      </c>
      <c r="H8" s="37">
        <f>G8*(1+'Assumptions'!$C$27)</f>
        <v/>
      </c>
      <c r="I8" s="37">
        <f>H8*(1+'Assumptions'!$C$28)</f>
        <v/>
      </c>
      <c r="J8" s="37">
        <f>I8*(1+'Assumptions'!$C$28)</f>
        <v/>
      </c>
      <c r="K8" s="37">
        <f>J8*(1+'Assumptions'!$C$28)</f>
        <v/>
      </c>
      <c r="L8" s="37">
        <f>K8*(1+'Assumptions'!$C$28)</f>
        <v/>
      </c>
      <c r="M8" s="37">
        <f>L8*(1+'Assumptions'!$C$28)</f>
        <v/>
      </c>
    </row>
    <row r="9">
      <c r="A9" s="3" t="inlineStr">
        <is>
          <t>Revenue — Bull</t>
        </is>
      </c>
      <c r="B9" s="37">
        <f>B5</f>
        <v/>
      </c>
      <c r="C9" s="37">
        <f>C5</f>
        <v/>
      </c>
      <c r="D9" s="37">
        <f>C9*(1+'Assumptions'!$D$27)</f>
        <v/>
      </c>
      <c r="E9" s="37">
        <f>D9*(1+'Assumptions'!$D$27)</f>
        <v/>
      </c>
      <c r="F9" s="37">
        <f>E9*(1+'Assumptions'!$D$27)</f>
        <v/>
      </c>
      <c r="G9" s="37">
        <f>F9*(1+'Assumptions'!$D$27)</f>
        <v/>
      </c>
      <c r="H9" s="37">
        <f>G9*(1+'Assumptions'!$D$27)</f>
        <v/>
      </c>
      <c r="I9" s="37">
        <f>H9*(1+'Assumptions'!$D$28)</f>
        <v/>
      </c>
      <c r="J9" s="37">
        <f>I9*(1+'Assumptions'!$D$28)</f>
        <v/>
      </c>
      <c r="K9" s="37">
        <f>J9*(1+'Assumptions'!$D$28)</f>
        <v/>
      </c>
      <c r="L9" s="37">
        <f>K9*(1+'Assumptions'!$D$28)</f>
        <v/>
      </c>
      <c r="M9" s="37">
        <f>L9*(1+'Assumptions'!$D$28)</f>
        <v/>
      </c>
    </row>
    <row r="11">
      <c r="A11" s="18" t="inlineStr">
        <is>
          <t xml:space="preserve">  growth % — Bear</t>
        </is>
      </c>
      <c r="D11" s="38">
        <f>D7/C7-1</f>
        <v/>
      </c>
      <c r="E11" s="38">
        <f>E7/D7-1</f>
        <v/>
      </c>
      <c r="F11" s="38">
        <f>F7/E7-1</f>
        <v/>
      </c>
      <c r="G11" s="38">
        <f>G7/F7-1</f>
        <v/>
      </c>
      <c r="H11" s="38">
        <f>H7/G7-1</f>
        <v/>
      </c>
      <c r="I11" s="38">
        <f>I7/H7-1</f>
        <v/>
      </c>
      <c r="J11" s="38">
        <f>J7/I7-1</f>
        <v/>
      </c>
      <c r="K11" s="38">
        <f>K7/J7-1</f>
        <v/>
      </c>
      <c r="L11" s="38">
        <f>L7/K7-1</f>
        <v/>
      </c>
      <c r="M11" s="38">
        <f>M7/L7-1</f>
        <v/>
      </c>
    </row>
    <row r="12">
      <c r="A12" s="18" t="inlineStr">
        <is>
          <t xml:space="preserve">  growth % — Base</t>
        </is>
      </c>
      <c r="D12" s="38">
        <f>D8/C8-1</f>
        <v/>
      </c>
      <c r="E12" s="38">
        <f>E8/D8-1</f>
        <v/>
      </c>
      <c r="F12" s="38">
        <f>F8/E8-1</f>
        <v/>
      </c>
      <c r="G12" s="38">
        <f>G8/F8-1</f>
        <v/>
      </c>
      <c r="H12" s="38">
        <f>H8/G8-1</f>
        <v/>
      </c>
      <c r="I12" s="38">
        <f>I8/H8-1</f>
        <v/>
      </c>
      <c r="J12" s="38">
        <f>J8/I8-1</f>
        <v/>
      </c>
      <c r="K12" s="38">
        <f>K8/J8-1</f>
        <v/>
      </c>
      <c r="L12" s="38">
        <f>L8/K8-1</f>
        <v/>
      </c>
      <c r="M12" s="38">
        <f>M8/L8-1</f>
        <v/>
      </c>
    </row>
    <row r="13">
      <c r="A13" s="18" t="inlineStr">
        <is>
          <t xml:space="preserve">  growth % — Bull</t>
        </is>
      </c>
      <c r="D13" s="38">
        <f>D9/C9-1</f>
        <v/>
      </c>
      <c r="E13" s="38">
        <f>E9/D9-1</f>
        <v/>
      </c>
      <c r="F13" s="38">
        <f>F9/E9-1</f>
        <v/>
      </c>
      <c r="G13" s="38">
        <f>G9/F9-1</f>
        <v/>
      </c>
      <c r="H13" s="38">
        <f>H9/G9-1</f>
        <v/>
      </c>
      <c r="I13" s="38">
        <f>I9/H9-1</f>
        <v/>
      </c>
      <c r="J13" s="38">
        <f>J9/I9-1</f>
        <v/>
      </c>
      <c r="K13" s="38">
        <f>K9/J9-1</f>
        <v/>
      </c>
      <c r="L13" s="38">
        <f>L9/K9-1</f>
        <v/>
      </c>
      <c r="M13" s="38">
        <f>M9/L9-1</f>
        <v/>
      </c>
    </row>
    <row r="15">
      <c r="A15" s="9" t="inlineStr">
        <is>
          <t>§ 2  EBITDA &amp; COST WATERFALL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11" t="inlineStr">
        <is>
          <t>Year</t>
        </is>
      </c>
      <c r="B16" s="12" t="inlineStr">
        <is>
          <t>FY23A</t>
        </is>
      </c>
      <c r="C16" s="12" t="inlineStr">
        <is>
          <t>FY24A</t>
        </is>
      </c>
      <c r="D16" s="12" t="inlineStr">
        <is>
          <t>FY26E</t>
        </is>
      </c>
      <c r="E16" s="12" t="inlineStr">
        <is>
          <t>FY27E</t>
        </is>
      </c>
      <c r="F16" s="12" t="inlineStr">
        <is>
          <t>FY28E</t>
        </is>
      </c>
      <c r="G16" s="12" t="inlineStr">
        <is>
          <t>FY29E</t>
        </is>
      </c>
      <c r="H16" s="12" t="inlineStr">
        <is>
          <t>FY30E</t>
        </is>
      </c>
      <c r="I16" s="12" t="inlineStr">
        <is>
          <t>FY31E</t>
        </is>
      </c>
      <c r="J16" s="12" t="inlineStr">
        <is>
          <t>FY32E</t>
        </is>
      </c>
      <c r="K16" s="12" t="inlineStr">
        <is>
          <t>FY33E</t>
        </is>
      </c>
      <c r="L16" s="12" t="inlineStr">
        <is>
          <t>FY34E</t>
        </is>
      </c>
      <c r="M16" s="12" t="inlineStr">
        <is>
          <t>FY35E</t>
        </is>
      </c>
    </row>
    <row r="17">
      <c r="A17" s="6" t="inlineStr">
        <is>
          <t>EBITDA (historical)</t>
        </is>
      </c>
      <c r="B17" s="13">
        <f>'Assumptions'!$B$39</f>
        <v/>
      </c>
      <c r="C17" s="13">
        <f>'Assumptions'!$C$39</f>
        <v/>
      </c>
    </row>
    <row r="18">
      <c r="A18" s="18" t="inlineStr">
        <is>
          <t xml:space="preserve">  EBITDA margin (historical)</t>
        </is>
      </c>
      <c r="B18" s="38">
        <f>B17/B5</f>
        <v/>
      </c>
      <c r="C18" s="38">
        <f>C17/C5</f>
        <v/>
      </c>
    </row>
    <row r="20">
      <c r="A20" s="6" t="inlineStr">
        <is>
          <t>EBITDA margin — Bear</t>
        </is>
      </c>
      <c r="B20" s="28">
        <f>B17/B5</f>
        <v/>
      </c>
      <c r="C20" s="28">
        <f>C17/C5</f>
        <v/>
      </c>
      <c r="D20" s="28">
        <f>C20+('Assumptions'!$B$29-C20)*1/10</f>
        <v/>
      </c>
      <c r="E20" s="28">
        <f>C20+('Assumptions'!$B$29-C20)*2/10</f>
        <v/>
      </c>
      <c r="F20" s="28">
        <f>C20+('Assumptions'!$B$29-C20)*3/10</f>
        <v/>
      </c>
      <c r="G20" s="28">
        <f>C20+('Assumptions'!$B$29-C20)*4/10</f>
        <v/>
      </c>
      <c r="H20" s="28">
        <f>C20+('Assumptions'!$B$29-C20)*5/10</f>
        <v/>
      </c>
      <c r="I20" s="28">
        <f>C20+('Assumptions'!$B$29-C20)*6/10</f>
        <v/>
      </c>
      <c r="J20" s="28">
        <f>C20+('Assumptions'!$B$29-C20)*7/10</f>
        <v/>
      </c>
      <c r="K20" s="28">
        <f>C20+('Assumptions'!$B$29-C20)*8/10</f>
        <v/>
      </c>
      <c r="L20" s="28">
        <f>C20+('Assumptions'!$B$29-C20)*9/10</f>
        <v/>
      </c>
      <c r="M20" s="28">
        <f>C20+('Assumptions'!$B$29-C20)*10/10</f>
        <v/>
      </c>
    </row>
    <row r="21">
      <c r="A21" s="3" t="inlineStr">
        <is>
          <t>EBITDA — Bear</t>
        </is>
      </c>
      <c r="B21" s="37">
        <f>B17</f>
        <v/>
      </c>
      <c r="C21" s="37">
        <f>C17</f>
        <v/>
      </c>
      <c r="D21" s="37">
        <f>D7*D20</f>
        <v/>
      </c>
      <c r="E21" s="37">
        <f>E7*E20</f>
        <v/>
      </c>
      <c r="F21" s="37">
        <f>F7*F20</f>
        <v/>
      </c>
      <c r="G21" s="37">
        <f>G7*G20</f>
        <v/>
      </c>
      <c r="H21" s="37">
        <f>H7*H20</f>
        <v/>
      </c>
      <c r="I21" s="37">
        <f>I7*I20</f>
        <v/>
      </c>
      <c r="J21" s="37">
        <f>J7*J20</f>
        <v/>
      </c>
      <c r="K21" s="37">
        <f>K7*K20</f>
        <v/>
      </c>
      <c r="L21" s="37">
        <f>L7*L20</f>
        <v/>
      </c>
      <c r="M21" s="37">
        <f>M7*M20</f>
        <v/>
      </c>
    </row>
    <row r="23">
      <c r="A23" s="6" t="inlineStr">
        <is>
          <t>EBITDA margin — Base</t>
        </is>
      </c>
      <c r="B23" s="28">
        <f>B17/B5</f>
        <v/>
      </c>
      <c r="C23" s="28">
        <f>C17/C5</f>
        <v/>
      </c>
      <c r="D23" s="28">
        <f>C23+('Assumptions'!$C$29-C23)*1/10</f>
        <v/>
      </c>
      <c r="E23" s="28">
        <f>C23+('Assumptions'!$C$29-C23)*2/10</f>
        <v/>
      </c>
      <c r="F23" s="28">
        <f>C23+('Assumptions'!$C$29-C23)*3/10</f>
        <v/>
      </c>
      <c r="G23" s="28">
        <f>C23+('Assumptions'!$C$29-C23)*4/10</f>
        <v/>
      </c>
      <c r="H23" s="28">
        <f>C23+('Assumptions'!$C$29-C23)*5/10</f>
        <v/>
      </c>
      <c r="I23" s="28">
        <f>C23+('Assumptions'!$C$29-C23)*6/10</f>
        <v/>
      </c>
      <c r="J23" s="28">
        <f>C23+('Assumptions'!$C$29-C23)*7/10</f>
        <v/>
      </c>
      <c r="K23" s="28">
        <f>C23+('Assumptions'!$C$29-C23)*8/10</f>
        <v/>
      </c>
      <c r="L23" s="28">
        <f>C23+('Assumptions'!$C$29-C23)*9/10</f>
        <v/>
      </c>
      <c r="M23" s="28">
        <f>C23+('Assumptions'!$C$29-C23)*10/10</f>
        <v/>
      </c>
    </row>
    <row r="24">
      <c r="A24" s="3" t="inlineStr">
        <is>
          <t>EBITDA — Base</t>
        </is>
      </c>
      <c r="B24" s="37">
        <f>B17</f>
        <v/>
      </c>
      <c r="C24" s="37">
        <f>C17</f>
        <v/>
      </c>
      <c r="D24" s="37">
        <f>D8*D23</f>
        <v/>
      </c>
      <c r="E24" s="37">
        <f>E8*E23</f>
        <v/>
      </c>
      <c r="F24" s="37">
        <f>F8*F23</f>
        <v/>
      </c>
      <c r="G24" s="37">
        <f>G8*G23</f>
        <v/>
      </c>
      <c r="H24" s="37">
        <f>H8*H23</f>
        <v/>
      </c>
      <c r="I24" s="37">
        <f>I8*I23</f>
        <v/>
      </c>
      <c r="J24" s="37">
        <f>J8*J23</f>
        <v/>
      </c>
      <c r="K24" s="37">
        <f>K8*K23</f>
        <v/>
      </c>
      <c r="L24" s="37">
        <f>L8*L23</f>
        <v/>
      </c>
      <c r="M24" s="37">
        <f>M8*M23</f>
        <v/>
      </c>
    </row>
    <row r="26">
      <c r="A26" s="6" t="inlineStr">
        <is>
          <t>EBITDA margin — Bull</t>
        </is>
      </c>
      <c r="B26" s="28">
        <f>B17/B5</f>
        <v/>
      </c>
      <c r="C26" s="28">
        <f>C17/C5</f>
        <v/>
      </c>
      <c r="D26" s="28">
        <f>C26+('Assumptions'!$D$29-C26)*1/10</f>
        <v/>
      </c>
      <c r="E26" s="28">
        <f>C26+('Assumptions'!$D$29-C26)*2/10</f>
        <v/>
      </c>
      <c r="F26" s="28">
        <f>C26+('Assumptions'!$D$29-C26)*3/10</f>
        <v/>
      </c>
      <c r="G26" s="28">
        <f>C26+('Assumptions'!$D$29-C26)*4/10</f>
        <v/>
      </c>
      <c r="H26" s="28">
        <f>C26+('Assumptions'!$D$29-C26)*5/10</f>
        <v/>
      </c>
      <c r="I26" s="28">
        <f>C26+('Assumptions'!$D$29-C26)*6/10</f>
        <v/>
      </c>
      <c r="J26" s="28">
        <f>C26+('Assumptions'!$D$29-C26)*7/10</f>
        <v/>
      </c>
      <c r="K26" s="28">
        <f>C26+('Assumptions'!$D$29-C26)*8/10</f>
        <v/>
      </c>
      <c r="L26" s="28">
        <f>C26+('Assumptions'!$D$29-C26)*9/10</f>
        <v/>
      </c>
      <c r="M26" s="28">
        <f>C26+('Assumptions'!$D$29-C26)*10/10</f>
        <v/>
      </c>
    </row>
    <row r="27">
      <c r="A27" s="3" t="inlineStr">
        <is>
          <t>EBITDA — Bull</t>
        </is>
      </c>
      <c r="B27" s="37">
        <f>B17</f>
        <v/>
      </c>
      <c r="C27" s="37">
        <f>C17</f>
        <v/>
      </c>
      <c r="D27" s="37">
        <f>D9*D26</f>
        <v/>
      </c>
      <c r="E27" s="37">
        <f>E9*E26</f>
        <v/>
      </c>
      <c r="F27" s="37">
        <f>F9*F26</f>
        <v/>
      </c>
      <c r="G27" s="37">
        <f>G9*G26</f>
        <v/>
      </c>
      <c r="H27" s="37">
        <f>H9*H26</f>
        <v/>
      </c>
      <c r="I27" s="37">
        <f>I9*I26</f>
        <v/>
      </c>
      <c r="J27" s="37">
        <f>J9*J26</f>
        <v/>
      </c>
      <c r="K27" s="37">
        <f>K9*K26</f>
        <v/>
      </c>
      <c r="L27" s="37">
        <f>L9*L26</f>
        <v/>
      </c>
      <c r="M27" s="37">
        <f>M9*M26</f>
        <v/>
      </c>
    </row>
    <row r="30">
      <c r="A30" s="9" t="inlineStr">
        <is>
          <t>§ 3  FCFF BRIDGE (per scenario)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39" t="inlineStr">
        <is>
          <t>▸ BEAR CASE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1" t="inlineStr">
        <is>
          <t>Year</t>
        </is>
      </c>
      <c r="B32" s="12" t="inlineStr">
        <is>
          <t>FY23A</t>
        </is>
      </c>
      <c r="C32" s="12" t="inlineStr">
        <is>
          <t>FY24A</t>
        </is>
      </c>
      <c r="D32" s="12" t="inlineStr">
        <is>
          <t>FY26E</t>
        </is>
      </c>
      <c r="E32" s="12" t="inlineStr">
        <is>
          <t>FY27E</t>
        </is>
      </c>
      <c r="F32" s="12" t="inlineStr">
        <is>
          <t>FY28E</t>
        </is>
      </c>
      <c r="G32" s="12" t="inlineStr">
        <is>
          <t>FY29E</t>
        </is>
      </c>
      <c r="H32" s="12" t="inlineStr">
        <is>
          <t>FY30E</t>
        </is>
      </c>
      <c r="I32" s="12" t="inlineStr">
        <is>
          <t>FY31E</t>
        </is>
      </c>
      <c r="J32" s="12" t="inlineStr">
        <is>
          <t>FY32E</t>
        </is>
      </c>
      <c r="K32" s="12" t="inlineStr">
        <is>
          <t>FY33E</t>
        </is>
      </c>
      <c r="L32" s="12" t="inlineStr">
        <is>
          <t>FY34E</t>
        </is>
      </c>
      <c r="M32" s="12" t="inlineStr">
        <is>
          <t>FY35E</t>
        </is>
      </c>
    </row>
    <row r="33">
      <c r="A33" s="18" t="inlineStr">
        <is>
          <t>Year #</t>
        </is>
      </c>
      <c r="B33" s="40" t="inlineStr">
        <is>
          <t>—</t>
        </is>
      </c>
      <c r="C33" s="40" t="inlineStr">
        <is>
          <t>—</t>
        </is>
      </c>
      <c r="D33" s="41" t="n">
        <v>1</v>
      </c>
      <c r="E33" s="41" t="n">
        <v>2</v>
      </c>
      <c r="F33" s="41" t="n">
        <v>3</v>
      </c>
      <c r="G33" s="41" t="n">
        <v>4</v>
      </c>
      <c r="H33" s="41" t="n">
        <v>5</v>
      </c>
      <c r="I33" s="41" t="n">
        <v>6</v>
      </c>
      <c r="J33" s="41" t="n">
        <v>7</v>
      </c>
      <c r="K33" s="41" t="n">
        <v>8</v>
      </c>
      <c r="L33" s="41" t="n">
        <v>9</v>
      </c>
      <c r="M33" s="41" t="n">
        <v>10</v>
      </c>
    </row>
    <row r="34">
      <c r="A34" s="6" t="inlineStr">
        <is>
          <t>EBITDA</t>
        </is>
      </c>
      <c r="B34" s="37">
        <f>B21</f>
        <v/>
      </c>
      <c r="C34" s="37">
        <f>C21</f>
        <v/>
      </c>
      <c r="D34" s="37">
        <f>D21</f>
        <v/>
      </c>
      <c r="E34" s="37">
        <f>E21</f>
        <v/>
      </c>
      <c r="F34" s="37">
        <f>F21</f>
        <v/>
      </c>
      <c r="G34" s="37">
        <f>G21</f>
        <v/>
      </c>
      <c r="H34" s="37">
        <f>H21</f>
        <v/>
      </c>
      <c r="I34" s="37">
        <f>I21</f>
        <v/>
      </c>
      <c r="J34" s="37">
        <f>J21</f>
        <v/>
      </c>
      <c r="K34" s="37">
        <f>K21</f>
        <v/>
      </c>
      <c r="L34" s="37">
        <f>L21</f>
        <v/>
      </c>
      <c r="M34" s="37">
        <f>M21</f>
        <v/>
      </c>
    </row>
    <row r="35">
      <c r="A35" s="6" t="inlineStr">
        <is>
          <t xml:space="preserve">  − D&amp;A</t>
        </is>
      </c>
      <c r="B35" s="13">
        <f>-'Assumptions'!$B$40</f>
        <v/>
      </c>
      <c r="C35" s="13">
        <f>-'Assumptions'!$C$40</f>
        <v/>
      </c>
      <c r="D35" s="37">
        <f>-D7*'Assumptions'!$B$32</f>
        <v/>
      </c>
      <c r="E35" s="37">
        <f>-E7*'Assumptions'!$B$32</f>
        <v/>
      </c>
      <c r="F35" s="37">
        <f>-F7*'Assumptions'!$B$32</f>
        <v/>
      </c>
      <c r="G35" s="37">
        <f>-G7*'Assumptions'!$B$32</f>
        <v/>
      </c>
      <c r="H35" s="37">
        <f>-H7*'Assumptions'!$B$32</f>
        <v/>
      </c>
      <c r="I35" s="37">
        <f>-I7*'Assumptions'!$B$32</f>
        <v/>
      </c>
      <c r="J35" s="37">
        <f>-J7*'Assumptions'!$B$32</f>
        <v/>
      </c>
      <c r="K35" s="37">
        <f>-K7*'Assumptions'!$B$32</f>
        <v/>
      </c>
      <c r="L35" s="37">
        <f>-L7*'Assumptions'!$B$32</f>
        <v/>
      </c>
      <c r="M35" s="37">
        <f>-M7*'Assumptions'!$B$32</f>
        <v/>
      </c>
    </row>
    <row r="36">
      <c r="A36" s="3" t="inlineStr">
        <is>
          <t>EBIT</t>
        </is>
      </c>
      <c r="B36" s="37">
        <f>B34+B35</f>
        <v/>
      </c>
      <c r="C36" s="37">
        <f>C34+C35</f>
        <v/>
      </c>
      <c r="D36" s="37">
        <f>D34+D35</f>
        <v/>
      </c>
      <c r="E36" s="37">
        <f>E34+E35</f>
        <v/>
      </c>
      <c r="F36" s="37">
        <f>F34+F35</f>
        <v/>
      </c>
      <c r="G36" s="37">
        <f>G34+G35</f>
        <v/>
      </c>
      <c r="H36" s="37">
        <f>H34+H35</f>
        <v/>
      </c>
      <c r="I36" s="37">
        <f>I34+I35</f>
        <v/>
      </c>
      <c r="J36" s="37">
        <f>J34+J35</f>
        <v/>
      </c>
      <c r="K36" s="37">
        <f>K34+K35</f>
        <v/>
      </c>
      <c r="L36" s="37">
        <f>L34+L35</f>
        <v/>
      </c>
      <c r="M36" s="37">
        <f>M34+M35</f>
        <v/>
      </c>
    </row>
    <row r="37">
      <c r="A37" s="6" t="inlineStr">
        <is>
          <t xml:space="preserve">  − Tax</t>
        </is>
      </c>
      <c r="B37" s="37">
        <f>-B36*'Assumptions'!$B$43</f>
        <v/>
      </c>
      <c r="C37" s="37">
        <f>-C36*'Assumptions'!$C$43</f>
        <v/>
      </c>
      <c r="D37" s="37">
        <f>-MAX(D36,0)*'Assumptions'!$B$30</f>
        <v/>
      </c>
      <c r="E37" s="37">
        <f>-MAX(E36,0)*'Assumptions'!$B$30</f>
        <v/>
      </c>
      <c r="F37" s="37">
        <f>-MAX(F36,0)*'Assumptions'!$B$30</f>
        <v/>
      </c>
      <c r="G37" s="37">
        <f>-MAX(G36,0)*'Assumptions'!$B$30</f>
        <v/>
      </c>
      <c r="H37" s="37">
        <f>-MAX(H36,0)*'Assumptions'!$B$30</f>
        <v/>
      </c>
      <c r="I37" s="37">
        <f>-MAX(I36,0)*'Assumptions'!$B$30</f>
        <v/>
      </c>
      <c r="J37" s="37">
        <f>-MAX(J36,0)*'Assumptions'!$B$30</f>
        <v/>
      </c>
      <c r="K37" s="37">
        <f>-MAX(K36,0)*'Assumptions'!$B$30</f>
        <v/>
      </c>
      <c r="L37" s="37">
        <f>-MAX(L36,0)*'Assumptions'!$B$30</f>
        <v/>
      </c>
      <c r="M37" s="37">
        <f>-MAX(M36,0)*'Assumptions'!$B$30</f>
        <v/>
      </c>
    </row>
    <row r="38">
      <c r="A38" s="3" t="inlineStr">
        <is>
          <t>NOPAT</t>
        </is>
      </c>
      <c r="B38" s="37">
        <f>B36+B37</f>
        <v/>
      </c>
      <c r="C38" s="37">
        <f>C36+C37</f>
        <v/>
      </c>
      <c r="D38" s="37">
        <f>D36+D37</f>
        <v/>
      </c>
      <c r="E38" s="37">
        <f>E36+E37</f>
        <v/>
      </c>
      <c r="F38" s="37">
        <f>F36+F37</f>
        <v/>
      </c>
      <c r="G38" s="37">
        <f>G36+G37</f>
        <v/>
      </c>
      <c r="H38" s="37">
        <f>H36+H37</f>
        <v/>
      </c>
      <c r="I38" s="37">
        <f>I36+I37</f>
        <v/>
      </c>
      <c r="J38" s="37">
        <f>J36+J37</f>
        <v/>
      </c>
      <c r="K38" s="37">
        <f>K36+K37</f>
        <v/>
      </c>
      <c r="L38" s="37">
        <f>L36+L37</f>
        <v/>
      </c>
      <c r="M38" s="37">
        <f>M36+M37</f>
        <v/>
      </c>
    </row>
    <row r="39">
      <c r="A39" s="6" t="inlineStr">
        <is>
          <t xml:space="preserve">  + D&amp;A (add back)</t>
        </is>
      </c>
      <c r="B39" s="37">
        <f>-B35</f>
        <v/>
      </c>
      <c r="C39" s="37">
        <f>-C35</f>
        <v/>
      </c>
      <c r="D39" s="37">
        <f>-D35</f>
        <v/>
      </c>
      <c r="E39" s="37">
        <f>-E35</f>
        <v/>
      </c>
      <c r="F39" s="37">
        <f>-F35</f>
        <v/>
      </c>
      <c r="G39" s="37">
        <f>-G35</f>
        <v/>
      </c>
      <c r="H39" s="37">
        <f>-H35</f>
        <v/>
      </c>
      <c r="I39" s="37">
        <f>-I35</f>
        <v/>
      </c>
      <c r="J39" s="37">
        <f>-J35</f>
        <v/>
      </c>
      <c r="K39" s="37">
        <f>-K35</f>
        <v/>
      </c>
      <c r="L39" s="37">
        <f>-L35</f>
        <v/>
      </c>
      <c r="M39" s="37">
        <f>-M35</f>
        <v/>
      </c>
    </row>
    <row r="40">
      <c r="A40" s="6" t="inlineStr">
        <is>
          <t xml:space="preserve">  − Capex</t>
        </is>
      </c>
      <c r="B40" s="13">
        <f>-'Assumptions'!$B$41</f>
        <v/>
      </c>
      <c r="C40" s="13">
        <f>-'Assumptions'!$C$41</f>
        <v/>
      </c>
      <c r="D40" s="37">
        <f>-D7*'Assumptions'!$B$31</f>
        <v/>
      </c>
      <c r="E40" s="37">
        <f>-E7*'Assumptions'!$B$31</f>
        <v/>
      </c>
      <c r="F40" s="37">
        <f>-F7*'Assumptions'!$B$31</f>
        <v/>
      </c>
      <c r="G40" s="37">
        <f>-G7*'Assumptions'!$B$31</f>
        <v/>
      </c>
      <c r="H40" s="37">
        <f>-H7*'Assumptions'!$B$31</f>
        <v/>
      </c>
      <c r="I40" s="37">
        <f>-I7*'Assumptions'!$B$31</f>
        <v/>
      </c>
      <c r="J40" s="37">
        <f>-J7*'Assumptions'!$B$31</f>
        <v/>
      </c>
      <c r="K40" s="37">
        <f>-K7*'Assumptions'!$B$31</f>
        <v/>
      </c>
      <c r="L40" s="37">
        <f>-L7*'Assumptions'!$B$31</f>
        <v/>
      </c>
      <c r="M40" s="37">
        <f>-M7*'Assumptions'!$B$31</f>
        <v/>
      </c>
    </row>
    <row r="41">
      <c r="A41" s="6" t="inlineStr">
        <is>
          <t xml:space="preserve">  − ΔNWC</t>
        </is>
      </c>
      <c r="B41" s="13">
        <f>-'Assumptions'!$B$42</f>
        <v/>
      </c>
      <c r="C41" s="13">
        <f>-'Assumptions'!$C$42</f>
        <v/>
      </c>
      <c r="D41" s="37">
        <f>-D7*'Assumptions'!$B$33</f>
        <v/>
      </c>
      <c r="E41" s="37">
        <f>-E7*'Assumptions'!$B$33</f>
        <v/>
      </c>
      <c r="F41" s="37">
        <f>-F7*'Assumptions'!$B$33</f>
        <v/>
      </c>
      <c r="G41" s="37">
        <f>-G7*'Assumptions'!$B$33</f>
        <v/>
      </c>
      <c r="H41" s="37">
        <f>-H7*'Assumptions'!$B$33</f>
        <v/>
      </c>
      <c r="I41" s="37">
        <f>-I7*'Assumptions'!$B$33</f>
        <v/>
      </c>
      <c r="J41" s="37">
        <f>-J7*'Assumptions'!$B$33</f>
        <v/>
      </c>
      <c r="K41" s="37">
        <f>-K7*'Assumptions'!$B$33</f>
        <v/>
      </c>
      <c r="L41" s="37">
        <f>-L7*'Assumptions'!$B$33</f>
        <v/>
      </c>
      <c r="M41" s="37">
        <f>-M7*'Assumptions'!$B$33</f>
        <v/>
      </c>
    </row>
    <row r="42">
      <c r="A42" s="14" t="inlineStr">
        <is>
          <t>FCFF</t>
        </is>
      </c>
      <c r="B42" s="42">
        <f>B38+B39+B40+B41</f>
        <v/>
      </c>
      <c r="C42" s="42">
        <f>C38+C39+C40+C41</f>
        <v/>
      </c>
      <c r="D42" s="42">
        <f>D38+D39+D40+D41</f>
        <v/>
      </c>
      <c r="E42" s="42">
        <f>E38+E39+E40+E41</f>
        <v/>
      </c>
      <c r="F42" s="42">
        <f>F38+F39+F40+F41</f>
        <v/>
      </c>
      <c r="G42" s="42">
        <f>G38+G39+G40+G41</f>
        <v/>
      </c>
      <c r="H42" s="42">
        <f>H38+H39+H40+H41</f>
        <v/>
      </c>
      <c r="I42" s="42">
        <f>I38+I39+I40+I41</f>
        <v/>
      </c>
      <c r="J42" s="42">
        <f>J38+J39+J40+J41</f>
        <v/>
      </c>
      <c r="K42" s="42">
        <f>K38+K39+K40+K41</f>
        <v/>
      </c>
      <c r="L42" s="42">
        <f>L38+L39+L40+L41</f>
        <v/>
      </c>
      <c r="M42" s="42">
        <f>M38+M39+M40+M41</f>
        <v/>
      </c>
    </row>
    <row r="43">
      <c r="A43" s="18" t="inlineStr">
        <is>
          <t xml:space="preserve">  Discount factor</t>
        </is>
      </c>
      <c r="B43" s="40" t="inlineStr">
        <is>
          <t>—</t>
        </is>
      </c>
      <c r="C43" s="40" t="inlineStr">
        <is>
          <t>—</t>
        </is>
      </c>
      <c r="D43" s="43">
        <f>1/((1+'Assumptions'!$B$23)^D33)</f>
        <v/>
      </c>
      <c r="E43" s="43">
        <f>1/((1+'Assumptions'!$B$23)^E33)</f>
        <v/>
      </c>
      <c r="F43" s="43">
        <f>1/((1+'Assumptions'!$B$23)^F33)</f>
        <v/>
      </c>
      <c r="G43" s="43">
        <f>1/((1+'Assumptions'!$B$23)^G33)</f>
        <v/>
      </c>
      <c r="H43" s="43">
        <f>1/((1+'Assumptions'!$B$23)^H33)</f>
        <v/>
      </c>
      <c r="I43" s="43">
        <f>1/((1+'Assumptions'!$B$23)^I33)</f>
        <v/>
      </c>
      <c r="J43" s="43">
        <f>1/((1+'Assumptions'!$B$23)^J33)</f>
        <v/>
      </c>
      <c r="K43" s="43">
        <f>1/((1+'Assumptions'!$B$23)^K33)</f>
        <v/>
      </c>
      <c r="L43" s="43">
        <f>1/((1+'Assumptions'!$B$23)^L33)</f>
        <v/>
      </c>
      <c r="M43" s="43">
        <f>1/((1+'Assumptions'!$B$23)^M33)</f>
        <v/>
      </c>
    </row>
    <row r="44">
      <c r="A44" s="6" t="inlineStr">
        <is>
          <t xml:space="preserve">  PV of FCFF</t>
        </is>
      </c>
      <c r="B44" s="40" t="inlineStr">
        <is>
          <t>—</t>
        </is>
      </c>
      <c r="C44" s="40" t="inlineStr">
        <is>
          <t>—</t>
        </is>
      </c>
      <c r="D44" s="37">
        <f>D42*D43</f>
        <v/>
      </c>
      <c r="E44" s="37">
        <f>E42*E43</f>
        <v/>
      </c>
      <c r="F44" s="37">
        <f>F42*F43</f>
        <v/>
      </c>
      <c r="G44" s="37">
        <f>G42*G43</f>
        <v/>
      </c>
      <c r="H44" s="37">
        <f>H42*H43</f>
        <v/>
      </c>
      <c r="I44" s="37">
        <f>I42*I43</f>
        <v/>
      </c>
      <c r="J44" s="37">
        <f>J42*J43</f>
        <v/>
      </c>
      <c r="K44" s="37">
        <f>K42*K43</f>
        <v/>
      </c>
      <c r="L44" s="37">
        <f>L42*L43</f>
        <v/>
      </c>
      <c r="M44" s="37">
        <f>M42*M43</f>
        <v/>
      </c>
    </row>
    <row r="46">
      <c r="A46" s="39" t="inlineStr">
        <is>
          <t>▸ BASE CASE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11" t="inlineStr">
        <is>
          <t>Year</t>
        </is>
      </c>
      <c r="B47" s="12" t="inlineStr">
        <is>
          <t>FY23A</t>
        </is>
      </c>
      <c r="C47" s="12" t="inlineStr">
        <is>
          <t>FY24A</t>
        </is>
      </c>
      <c r="D47" s="12" t="inlineStr">
        <is>
          <t>FY26E</t>
        </is>
      </c>
      <c r="E47" s="12" t="inlineStr">
        <is>
          <t>FY27E</t>
        </is>
      </c>
      <c r="F47" s="12" t="inlineStr">
        <is>
          <t>FY28E</t>
        </is>
      </c>
      <c r="G47" s="12" t="inlineStr">
        <is>
          <t>FY29E</t>
        </is>
      </c>
      <c r="H47" s="12" t="inlineStr">
        <is>
          <t>FY30E</t>
        </is>
      </c>
      <c r="I47" s="12" t="inlineStr">
        <is>
          <t>FY31E</t>
        </is>
      </c>
      <c r="J47" s="12" t="inlineStr">
        <is>
          <t>FY32E</t>
        </is>
      </c>
      <c r="K47" s="12" t="inlineStr">
        <is>
          <t>FY33E</t>
        </is>
      </c>
      <c r="L47" s="12" t="inlineStr">
        <is>
          <t>FY34E</t>
        </is>
      </c>
      <c r="M47" s="12" t="inlineStr">
        <is>
          <t>FY35E</t>
        </is>
      </c>
    </row>
    <row r="48">
      <c r="A48" s="18" t="inlineStr">
        <is>
          <t>Year #</t>
        </is>
      </c>
      <c r="B48" s="40" t="inlineStr">
        <is>
          <t>—</t>
        </is>
      </c>
      <c r="C48" s="40" t="inlineStr">
        <is>
          <t>—</t>
        </is>
      </c>
      <c r="D48" s="41" t="n">
        <v>1</v>
      </c>
      <c r="E48" s="41" t="n">
        <v>2</v>
      </c>
      <c r="F48" s="41" t="n">
        <v>3</v>
      </c>
      <c r="G48" s="41" t="n">
        <v>4</v>
      </c>
      <c r="H48" s="41" t="n">
        <v>5</v>
      </c>
      <c r="I48" s="41" t="n">
        <v>6</v>
      </c>
      <c r="J48" s="41" t="n">
        <v>7</v>
      </c>
      <c r="K48" s="41" t="n">
        <v>8</v>
      </c>
      <c r="L48" s="41" t="n">
        <v>9</v>
      </c>
      <c r="M48" s="41" t="n">
        <v>10</v>
      </c>
    </row>
    <row r="49">
      <c r="A49" s="6" t="inlineStr">
        <is>
          <t>EBITDA</t>
        </is>
      </c>
      <c r="B49" s="37">
        <f>B24</f>
        <v/>
      </c>
      <c r="C49" s="37">
        <f>C24</f>
        <v/>
      </c>
      <c r="D49" s="37">
        <f>D24</f>
        <v/>
      </c>
      <c r="E49" s="37">
        <f>E24</f>
        <v/>
      </c>
      <c r="F49" s="37">
        <f>F24</f>
        <v/>
      </c>
      <c r="G49" s="37">
        <f>G24</f>
        <v/>
      </c>
      <c r="H49" s="37">
        <f>H24</f>
        <v/>
      </c>
      <c r="I49" s="37">
        <f>I24</f>
        <v/>
      </c>
      <c r="J49" s="37">
        <f>J24</f>
        <v/>
      </c>
      <c r="K49" s="37">
        <f>K24</f>
        <v/>
      </c>
      <c r="L49" s="37">
        <f>L24</f>
        <v/>
      </c>
      <c r="M49" s="37">
        <f>M24</f>
        <v/>
      </c>
    </row>
    <row r="50">
      <c r="A50" s="6" t="inlineStr">
        <is>
          <t xml:space="preserve">  − D&amp;A</t>
        </is>
      </c>
      <c r="B50" s="13">
        <f>-'Assumptions'!$B$40</f>
        <v/>
      </c>
      <c r="C50" s="13">
        <f>-'Assumptions'!$C$40</f>
        <v/>
      </c>
      <c r="D50" s="37">
        <f>-D8*'Assumptions'!$C$32</f>
        <v/>
      </c>
      <c r="E50" s="37">
        <f>-E8*'Assumptions'!$C$32</f>
        <v/>
      </c>
      <c r="F50" s="37">
        <f>-F8*'Assumptions'!$C$32</f>
        <v/>
      </c>
      <c r="G50" s="37">
        <f>-G8*'Assumptions'!$C$32</f>
        <v/>
      </c>
      <c r="H50" s="37">
        <f>-H8*'Assumptions'!$C$32</f>
        <v/>
      </c>
      <c r="I50" s="37">
        <f>-I8*'Assumptions'!$C$32</f>
        <v/>
      </c>
      <c r="J50" s="37">
        <f>-J8*'Assumptions'!$C$32</f>
        <v/>
      </c>
      <c r="K50" s="37">
        <f>-K8*'Assumptions'!$C$32</f>
        <v/>
      </c>
      <c r="L50" s="37">
        <f>-L8*'Assumptions'!$C$32</f>
        <v/>
      </c>
      <c r="M50" s="37">
        <f>-M8*'Assumptions'!$C$32</f>
        <v/>
      </c>
    </row>
    <row r="51">
      <c r="A51" s="3" t="inlineStr">
        <is>
          <t>EBIT</t>
        </is>
      </c>
      <c r="B51" s="37">
        <f>B49+B50</f>
        <v/>
      </c>
      <c r="C51" s="37">
        <f>C49+C50</f>
        <v/>
      </c>
      <c r="D51" s="37">
        <f>D49+D50</f>
        <v/>
      </c>
      <c r="E51" s="37">
        <f>E49+E50</f>
        <v/>
      </c>
      <c r="F51" s="37">
        <f>F49+F50</f>
        <v/>
      </c>
      <c r="G51" s="37">
        <f>G49+G50</f>
        <v/>
      </c>
      <c r="H51" s="37">
        <f>H49+H50</f>
        <v/>
      </c>
      <c r="I51" s="37">
        <f>I49+I50</f>
        <v/>
      </c>
      <c r="J51" s="37">
        <f>J49+J50</f>
        <v/>
      </c>
      <c r="K51" s="37">
        <f>K49+K50</f>
        <v/>
      </c>
      <c r="L51" s="37">
        <f>L49+L50</f>
        <v/>
      </c>
      <c r="M51" s="37">
        <f>M49+M50</f>
        <v/>
      </c>
    </row>
    <row r="52">
      <c r="A52" s="6" t="inlineStr">
        <is>
          <t xml:space="preserve">  − Tax</t>
        </is>
      </c>
      <c r="B52" s="37">
        <f>-B51*'Assumptions'!$B$43</f>
        <v/>
      </c>
      <c r="C52" s="37">
        <f>-C51*'Assumptions'!$C$43</f>
        <v/>
      </c>
      <c r="D52" s="37">
        <f>-MAX(D51,0)*'Assumptions'!$C$30</f>
        <v/>
      </c>
      <c r="E52" s="37">
        <f>-MAX(E51,0)*'Assumptions'!$C$30</f>
        <v/>
      </c>
      <c r="F52" s="37">
        <f>-MAX(F51,0)*'Assumptions'!$C$30</f>
        <v/>
      </c>
      <c r="G52" s="37">
        <f>-MAX(G51,0)*'Assumptions'!$C$30</f>
        <v/>
      </c>
      <c r="H52" s="37">
        <f>-MAX(H51,0)*'Assumptions'!$C$30</f>
        <v/>
      </c>
      <c r="I52" s="37">
        <f>-MAX(I51,0)*'Assumptions'!$C$30</f>
        <v/>
      </c>
      <c r="J52" s="37">
        <f>-MAX(J51,0)*'Assumptions'!$C$30</f>
        <v/>
      </c>
      <c r="K52" s="37">
        <f>-MAX(K51,0)*'Assumptions'!$C$30</f>
        <v/>
      </c>
      <c r="L52" s="37">
        <f>-MAX(L51,0)*'Assumptions'!$C$30</f>
        <v/>
      </c>
      <c r="M52" s="37">
        <f>-MAX(M51,0)*'Assumptions'!$C$30</f>
        <v/>
      </c>
    </row>
    <row r="53">
      <c r="A53" s="3" t="inlineStr">
        <is>
          <t>NOPAT</t>
        </is>
      </c>
      <c r="B53" s="37">
        <f>B51+B52</f>
        <v/>
      </c>
      <c r="C53" s="37">
        <f>C51+C52</f>
        <v/>
      </c>
      <c r="D53" s="37">
        <f>D51+D52</f>
        <v/>
      </c>
      <c r="E53" s="37">
        <f>E51+E52</f>
        <v/>
      </c>
      <c r="F53" s="37">
        <f>F51+F52</f>
        <v/>
      </c>
      <c r="G53" s="37">
        <f>G51+G52</f>
        <v/>
      </c>
      <c r="H53" s="37">
        <f>H51+H52</f>
        <v/>
      </c>
      <c r="I53" s="37">
        <f>I51+I52</f>
        <v/>
      </c>
      <c r="J53" s="37">
        <f>J51+J52</f>
        <v/>
      </c>
      <c r="K53" s="37">
        <f>K51+K52</f>
        <v/>
      </c>
      <c r="L53" s="37">
        <f>L51+L52</f>
        <v/>
      </c>
      <c r="M53" s="37">
        <f>M51+M52</f>
        <v/>
      </c>
    </row>
    <row r="54">
      <c r="A54" s="6" t="inlineStr">
        <is>
          <t xml:space="preserve">  + D&amp;A (add back)</t>
        </is>
      </c>
      <c r="B54" s="37">
        <f>-B50</f>
        <v/>
      </c>
      <c r="C54" s="37">
        <f>-C50</f>
        <v/>
      </c>
      <c r="D54" s="37">
        <f>-D50</f>
        <v/>
      </c>
      <c r="E54" s="37">
        <f>-E50</f>
        <v/>
      </c>
      <c r="F54" s="37">
        <f>-F50</f>
        <v/>
      </c>
      <c r="G54" s="37">
        <f>-G50</f>
        <v/>
      </c>
      <c r="H54" s="37">
        <f>-H50</f>
        <v/>
      </c>
      <c r="I54" s="37">
        <f>-I50</f>
        <v/>
      </c>
      <c r="J54" s="37">
        <f>-J50</f>
        <v/>
      </c>
      <c r="K54" s="37">
        <f>-K50</f>
        <v/>
      </c>
      <c r="L54" s="37">
        <f>-L50</f>
        <v/>
      </c>
      <c r="M54" s="37">
        <f>-M50</f>
        <v/>
      </c>
    </row>
    <row r="55">
      <c r="A55" s="6" t="inlineStr">
        <is>
          <t xml:space="preserve">  − Capex</t>
        </is>
      </c>
      <c r="B55" s="13">
        <f>-'Assumptions'!$B$41</f>
        <v/>
      </c>
      <c r="C55" s="13">
        <f>-'Assumptions'!$C$41</f>
        <v/>
      </c>
      <c r="D55" s="37">
        <f>-D8*'Assumptions'!$C$31</f>
        <v/>
      </c>
      <c r="E55" s="37">
        <f>-E8*'Assumptions'!$C$31</f>
        <v/>
      </c>
      <c r="F55" s="37">
        <f>-F8*'Assumptions'!$C$31</f>
        <v/>
      </c>
      <c r="G55" s="37">
        <f>-G8*'Assumptions'!$C$31</f>
        <v/>
      </c>
      <c r="H55" s="37">
        <f>-H8*'Assumptions'!$C$31</f>
        <v/>
      </c>
      <c r="I55" s="37">
        <f>-I8*'Assumptions'!$C$31</f>
        <v/>
      </c>
      <c r="J55" s="37">
        <f>-J8*'Assumptions'!$C$31</f>
        <v/>
      </c>
      <c r="K55" s="37">
        <f>-K8*'Assumptions'!$C$31</f>
        <v/>
      </c>
      <c r="L55" s="37">
        <f>-L8*'Assumptions'!$C$31</f>
        <v/>
      </c>
      <c r="M55" s="37">
        <f>-M8*'Assumptions'!$C$31</f>
        <v/>
      </c>
    </row>
    <row r="56">
      <c r="A56" s="6" t="inlineStr">
        <is>
          <t xml:space="preserve">  − ΔNWC</t>
        </is>
      </c>
      <c r="B56" s="13">
        <f>-'Assumptions'!$B$42</f>
        <v/>
      </c>
      <c r="C56" s="13">
        <f>-'Assumptions'!$C$42</f>
        <v/>
      </c>
      <c r="D56" s="37">
        <f>-D8*'Assumptions'!$C$33</f>
        <v/>
      </c>
      <c r="E56" s="37">
        <f>-E8*'Assumptions'!$C$33</f>
        <v/>
      </c>
      <c r="F56" s="37">
        <f>-F8*'Assumptions'!$C$33</f>
        <v/>
      </c>
      <c r="G56" s="37">
        <f>-G8*'Assumptions'!$C$33</f>
        <v/>
      </c>
      <c r="H56" s="37">
        <f>-H8*'Assumptions'!$C$33</f>
        <v/>
      </c>
      <c r="I56" s="37">
        <f>-I8*'Assumptions'!$C$33</f>
        <v/>
      </c>
      <c r="J56" s="37">
        <f>-J8*'Assumptions'!$C$33</f>
        <v/>
      </c>
      <c r="K56" s="37">
        <f>-K8*'Assumptions'!$C$33</f>
        <v/>
      </c>
      <c r="L56" s="37">
        <f>-L8*'Assumptions'!$C$33</f>
        <v/>
      </c>
      <c r="M56" s="37">
        <f>-M8*'Assumptions'!$C$33</f>
        <v/>
      </c>
    </row>
    <row r="57">
      <c r="A57" s="14" t="inlineStr">
        <is>
          <t>FCFF</t>
        </is>
      </c>
      <c r="B57" s="42">
        <f>B53+B54+B55+B56</f>
        <v/>
      </c>
      <c r="C57" s="42">
        <f>C53+C54+C55+C56</f>
        <v/>
      </c>
      <c r="D57" s="42">
        <f>D53+D54+D55+D56</f>
        <v/>
      </c>
      <c r="E57" s="42">
        <f>E53+E54+E55+E56</f>
        <v/>
      </c>
      <c r="F57" s="42">
        <f>F53+F54+F55+F56</f>
        <v/>
      </c>
      <c r="G57" s="42">
        <f>G53+G54+G55+G56</f>
        <v/>
      </c>
      <c r="H57" s="42">
        <f>H53+H54+H55+H56</f>
        <v/>
      </c>
      <c r="I57" s="42">
        <f>I53+I54+I55+I56</f>
        <v/>
      </c>
      <c r="J57" s="42">
        <f>J53+J54+J55+J56</f>
        <v/>
      </c>
      <c r="K57" s="42">
        <f>K53+K54+K55+K56</f>
        <v/>
      </c>
      <c r="L57" s="42">
        <f>L53+L54+L55+L56</f>
        <v/>
      </c>
      <c r="M57" s="42">
        <f>M53+M54+M55+M56</f>
        <v/>
      </c>
    </row>
    <row r="58">
      <c r="A58" s="18" t="inlineStr">
        <is>
          <t xml:space="preserve">  Discount factor</t>
        </is>
      </c>
      <c r="B58" s="40" t="inlineStr">
        <is>
          <t>—</t>
        </is>
      </c>
      <c r="C58" s="40" t="inlineStr">
        <is>
          <t>—</t>
        </is>
      </c>
      <c r="D58" s="43">
        <f>1/((1+'Assumptions'!$B$23)^D48)</f>
        <v/>
      </c>
      <c r="E58" s="43">
        <f>1/((1+'Assumptions'!$B$23)^E48)</f>
        <v/>
      </c>
      <c r="F58" s="43">
        <f>1/((1+'Assumptions'!$B$23)^F48)</f>
        <v/>
      </c>
      <c r="G58" s="43">
        <f>1/((1+'Assumptions'!$B$23)^G48)</f>
        <v/>
      </c>
      <c r="H58" s="43">
        <f>1/((1+'Assumptions'!$B$23)^H48)</f>
        <v/>
      </c>
      <c r="I58" s="43">
        <f>1/((1+'Assumptions'!$B$23)^I48)</f>
        <v/>
      </c>
      <c r="J58" s="43">
        <f>1/((1+'Assumptions'!$B$23)^J48)</f>
        <v/>
      </c>
      <c r="K58" s="43">
        <f>1/((1+'Assumptions'!$B$23)^K48)</f>
        <v/>
      </c>
      <c r="L58" s="43">
        <f>1/((1+'Assumptions'!$B$23)^L48)</f>
        <v/>
      </c>
      <c r="M58" s="43">
        <f>1/((1+'Assumptions'!$B$23)^M48)</f>
        <v/>
      </c>
    </row>
    <row r="59">
      <c r="A59" s="6" t="inlineStr">
        <is>
          <t xml:space="preserve">  PV of FCFF</t>
        </is>
      </c>
      <c r="B59" s="40" t="inlineStr">
        <is>
          <t>—</t>
        </is>
      </c>
      <c r="C59" s="40" t="inlineStr">
        <is>
          <t>—</t>
        </is>
      </c>
      <c r="D59" s="37">
        <f>D57*D58</f>
        <v/>
      </c>
      <c r="E59" s="37">
        <f>E57*E58</f>
        <v/>
      </c>
      <c r="F59" s="37">
        <f>F57*F58</f>
        <v/>
      </c>
      <c r="G59" s="37">
        <f>G57*G58</f>
        <v/>
      </c>
      <c r="H59" s="37">
        <f>H57*H58</f>
        <v/>
      </c>
      <c r="I59" s="37">
        <f>I57*I58</f>
        <v/>
      </c>
      <c r="J59" s="37">
        <f>J57*J58</f>
        <v/>
      </c>
      <c r="K59" s="37">
        <f>K57*K58</f>
        <v/>
      </c>
      <c r="L59" s="37">
        <f>L57*L58</f>
        <v/>
      </c>
      <c r="M59" s="37">
        <f>M57*M58</f>
        <v/>
      </c>
    </row>
    <row r="61">
      <c r="A61" s="39" t="inlineStr">
        <is>
          <t>▸ BULL CASE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11" t="inlineStr">
        <is>
          <t>Year</t>
        </is>
      </c>
      <c r="B62" s="12" t="inlineStr">
        <is>
          <t>FY23A</t>
        </is>
      </c>
      <c r="C62" s="12" t="inlineStr">
        <is>
          <t>FY24A</t>
        </is>
      </c>
      <c r="D62" s="12" t="inlineStr">
        <is>
          <t>FY26E</t>
        </is>
      </c>
      <c r="E62" s="12" t="inlineStr">
        <is>
          <t>FY27E</t>
        </is>
      </c>
      <c r="F62" s="12" t="inlineStr">
        <is>
          <t>FY28E</t>
        </is>
      </c>
      <c r="G62" s="12" t="inlineStr">
        <is>
          <t>FY29E</t>
        </is>
      </c>
      <c r="H62" s="12" t="inlineStr">
        <is>
          <t>FY30E</t>
        </is>
      </c>
      <c r="I62" s="12" t="inlineStr">
        <is>
          <t>FY31E</t>
        </is>
      </c>
      <c r="J62" s="12" t="inlineStr">
        <is>
          <t>FY32E</t>
        </is>
      </c>
      <c r="K62" s="12" t="inlineStr">
        <is>
          <t>FY33E</t>
        </is>
      </c>
      <c r="L62" s="12" t="inlineStr">
        <is>
          <t>FY34E</t>
        </is>
      </c>
      <c r="M62" s="12" t="inlineStr">
        <is>
          <t>FY35E</t>
        </is>
      </c>
    </row>
    <row r="63">
      <c r="A63" s="18" t="inlineStr">
        <is>
          <t>Year #</t>
        </is>
      </c>
      <c r="B63" s="40" t="inlineStr">
        <is>
          <t>—</t>
        </is>
      </c>
      <c r="C63" s="40" t="inlineStr">
        <is>
          <t>—</t>
        </is>
      </c>
      <c r="D63" s="41" t="n">
        <v>1</v>
      </c>
      <c r="E63" s="41" t="n">
        <v>2</v>
      </c>
      <c r="F63" s="41" t="n">
        <v>3</v>
      </c>
      <c r="G63" s="41" t="n">
        <v>4</v>
      </c>
      <c r="H63" s="41" t="n">
        <v>5</v>
      </c>
      <c r="I63" s="41" t="n">
        <v>6</v>
      </c>
      <c r="J63" s="41" t="n">
        <v>7</v>
      </c>
      <c r="K63" s="41" t="n">
        <v>8</v>
      </c>
      <c r="L63" s="41" t="n">
        <v>9</v>
      </c>
      <c r="M63" s="41" t="n">
        <v>10</v>
      </c>
    </row>
    <row r="64">
      <c r="A64" s="6" t="inlineStr">
        <is>
          <t>EBITDA</t>
        </is>
      </c>
      <c r="B64" s="37">
        <f>B27</f>
        <v/>
      </c>
      <c r="C64" s="37">
        <f>C27</f>
        <v/>
      </c>
      <c r="D64" s="37">
        <f>D27</f>
        <v/>
      </c>
      <c r="E64" s="37">
        <f>E27</f>
        <v/>
      </c>
      <c r="F64" s="37">
        <f>F27</f>
        <v/>
      </c>
      <c r="G64" s="37">
        <f>G27</f>
        <v/>
      </c>
      <c r="H64" s="37">
        <f>H27</f>
        <v/>
      </c>
      <c r="I64" s="37">
        <f>I27</f>
        <v/>
      </c>
      <c r="J64" s="37">
        <f>J27</f>
        <v/>
      </c>
      <c r="K64" s="37">
        <f>K27</f>
        <v/>
      </c>
      <c r="L64" s="37">
        <f>L27</f>
        <v/>
      </c>
      <c r="M64" s="37">
        <f>M27</f>
        <v/>
      </c>
    </row>
    <row r="65">
      <c r="A65" s="6" t="inlineStr">
        <is>
          <t xml:space="preserve">  − D&amp;A</t>
        </is>
      </c>
      <c r="B65" s="13">
        <f>-'Assumptions'!$B$40</f>
        <v/>
      </c>
      <c r="C65" s="13">
        <f>-'Assumptions'!$C$40</f>
        <v/>
      </c>
      <c r="D65" s="37">
        <f>-D9*'Assumptions'!$D$32</f>
        <v/>
      </c>
      <c r="E65" s="37">
        <f>-E9*'Assumptions'!$D$32</f>
        <v/>
      </c>
      <c r="F65" s="37">
        <f>-F9*'Assumptions'!$D$32</f>
        <v/>
      </c>
      <c r="G65" s="37">
        <f>-G9*'Assumptions'!$D$32</f>
        <v/>
      </c>
      <c r="H65" s="37">
        <f>-H9*'Assumptions'!$D$32</f>
        <v/>
      </c>
      <c r="I65" s="37">
        <f>-I9*'Assumptions'!$D$32</f>
        <v/>
      </c>
      <c r="J65" s="37">
        <f>-J9*'Assumptions'!$D$32</f>
        <v/>
      </c>
      <c r="K65" s="37">
        <f>-K9*'Assumptions'!$D$32</f>
        <v/>
      </c>
      <c r="L65" s="37">
        <f>-L9*'Assumptions'!$D$32</f>
        <v/>
      </c>
      <c r="M65" s="37">
        <f>-M9*'Assumptions'!$D$32</f>
        <v/>
      </c>
    </row>
    <row r="66">
      <c r="A66" s="3" t="inlineStr">
        <is>
          <t>EBIT</t>
        </is>
      </c>
      <c r="B66" s="37">
        <f>B64+B65</f>
        <v/>
      </c>
      <c r="C66" s="37">
        <f>C64+C65</f>
        <v/>
      </c>
      <c r="D66" s="37">
        <f>D64+D65</f>
        <v/>
      </c>
      <c r="E66" s="37">
        <f>E64+E65</f>
        <v/>
      </c>
      <c r="F66" s="37">
        <f>F64+F65</f>
        <v/>
      </c>
      <c r="G66" s="37">
        <f>G64+G65</f>
        <v/>
      </c>
      <c r="H66" s="37">
        <f>H64+H65</f>
        <v/>
      </c>
      <c r="I66" s="37">
        <f>I64+I65</f>
        <v/>
      </c>
      <c r="J66" s="37">
        <f>J64+J65</f>
        <v/>
      </c>
      <c r="K66" s="37">
        <f>K64+K65</f>
        <v/>
      </c>
      <c r="L66" s="37">
        <f>L64+L65</f>
        <v/>
      </c>
      <c r="M66" s="37">
        <f>M64+M65</f>
        <v/>
      </c>
    </row>
    <row r="67">
      <c r="A67" s="6" t="inlineStr">
        <is>
          <t xml:space="preserve">  − Tax</t>
        </is>
      </c>
      <c r="B67" s="37">
        <f>-B66*'Assumptions'!$B$43</f>
        <v/>
      </c>
      <c r="C67" s="37">
        <f>-C66*'Assumptions'!$C$43</f>
        <v/>
      </c>
      <c r="D67" s="37">
        <f>-MAX(D66,0)*'Assumptions'!$D$30</f>
        <v/>
      </c>
      <c r="E67" s="37">
        <f>-MAX(E66,0)*'Assumptions'!$D$30</f>
        <v/>
      </c>
      <c r="F67" s="37">
        <f>-MAX(F66,0)*'Assumptions'!$D$30</f>
        <v/>
      </c>
      <c r="G67" s="37">
        <f>-MAX(G66,0)*'Assumptions'!$D$30</f>
        <v/>
      </c>
      <c r="H67" s="37">
        <f>-MAX(H66,0)*'Assumptions'!$D$30</f>
        <v/>
      </c>
      <c r="I67" s="37">
        <f>-MAX(I66,0)*'Assumptions'!$D$30</f>
        <v/>
      </c>
      <c r="J67" s="37">
        <f>-MAX(J66,0)*'Assumptions'!$D$30</f>
        <v/>
      </c>
      <c r="K67" s="37">
        <f>-MAX(K66,0)*'Assumptions'!$D$30</f>
        <v/>
      </c>
      <c r="L67" s="37">
        <f>-MAX(L66,0)*'Assumptions'!$D$30</f>
        <v/>
      </c>
      <c r="M67" s="37">
        <f>-MAX(M66,0)*'Assumptions'!$D$30</f>
        <v/>
      </c>
    </row>
    <row r="68">
      <c r="A68" s="3" t="inlineStr">
        <is>
          <t>NOPAT</t>
        </is>
      </c>
      <c r="B68" s="37">
        <f>B66+B67</f>
        <v/>
      </c>
      <c r="C68" s="37">
        <f>C66+C67</f>
        <v/>
      </c>
      <c r="D68" s="37">
        <f>D66+D67</f>
        <v/>
      </c>
      <c r="E68" s="37">
        <f>E66+E67</f>
        <v/>
      </c>
      <c r="F68" s="37">
        <f>F66+F67</f>
        <v/>
      </c>
      <c r="G68" s="37">
        <f>G66+G67</f>
        <v/>
      </c>
      <c r="H68" s="37">
        <f>H66+H67</f>
        <v/>
      </c>
      <c r="I68" s="37">
        <f>I66+I67</f>
        <v/>
      </c>
      <c r="J68" s="37">
        <f>J66+J67</f>
        <v/>
      </c>
      <c r="K68" s="37">
        <f>K66+K67</f>
        <v/>
      </c>
      <c r="L68" s="37">
        <f>L66+L67</f>
        <v/>
      </c>
      <c r="M68" s="37">
        <f>M66+M67</f>
        <v/>
      </c>
    </row>
    <row r="69">
      <c r="A69" s="6" t="inlineStr">
        <is>
          <t xml:space="preserve">  + D&amp;A (add back)</t>
        </is>
      </c>
      <c r="B69" s="37">
        <f>-B65</f>
        <v/>
      </c>
      <c r="C69" s="37">
        <f>-C65</f>
        <v/>
      </c>
      <c r="D69" s="37">
        <f>-D65</f>
        <v/>
      </c>
      <c r="E69" s="37">
        <f>-E65</f>
        <v/>
      </c>
      <c r="F69" s="37">
        <f>-F65</f>
        <v/>
      </c>
      <c r="G69" s="37">
        <f>-G65</f>
        <v/>
      </c>
      <c r="H69" s="37">
        <f>-H65</f>
        <v/>
      </c>
      <c r="I69" s="37">
        <f>-I65</f>
        <v/>
      </c>
      <c r="J69" s="37">
        <f>-J65</f>
        <v/>
      </c>
      <c r="K69" s="37">
        <f>-K65</f>
        <v/>
      </c>
      <c r="L69" s="37">
        <f>-L65</f>
        <v/>
      </c>
      <c r="M69" s="37">
        <f>-M65</f>
        <v/>
      </c>
    </row>
    <row r="70">
      <c r="A70" s="6" t="inlineStr">
        <is>
          <t xml:space="preserve">  − Capex</t>
        </is>
      </c>
      <c r="B70" s="13">
        <f>-'Assumptions'!$B$41</f>
        <v/>
      </c>
      <c r="C70" s="13">
        <f>-'Assumptions'!$C$41</f>
        <v/>
      </c>
      <c r="D70" s="37">
        <f>-D9*'Assumptions'!$D$31</f>
        <v/>
      </c>
      <c r="E70" s="37">
        <f>-E9*'Assumptions'!$D$31</f>
        <v/>
      </c>
      <c r="F70" s="37">
        <f>-F9*'Assumptions'!$D$31</f>
        <v/>
      </c>
      <c r="G70" s="37">
        <f>-G9*'Assumptions'!$D$31</f>
        <v/>
      </c>
      <c r="H70" s="37">
        <f>-H9*'Assumptions'!$D$31</f>
        <v/>
      </c>
      <c r="I70" s="37">
        <f>-I9*'Assumptions'!$D$31</f>
        <v/>
      </c>
      <c r="J70" s="37">
        <f>-J9*'Assumptions'!$D$31</f>
        <v/>
      </c>
      <c r="K70" s="37">
        <f>-K9*'Assumptions'!$D$31</f>
        <v/>
      </c>
      <c r="L70" s="37">
        <f>-L9*'Assumptions'!$D$31</f>
        <v/>
      </c>
      <c r="M70" s="37">
        <f>-M9*'Assumptions'!$D$31</f>
        <v/>
      </c>
    </row>
    <row r="71">
      <c r="A71" s="6" t="inlineStr">
        <is>
          <t xml:space="preserve">  − ΔNWC</t>
        </is>
      </c>
      <c r="B71" s="13">
        <f>-'Assumptions'!$B$42</f>
        <v/>
      </c>
      <c r="C71" s="13">
        <f>-'Assumptions'!$C$42</f>
        <v/>
      </c>
      <c r="D71" s="37">
        <f>-D9*'Assumptions'!$D$33</f>
        <v/>
      </c>
      <c r="E71" s="37">
        <f>-E9*'Assumptions'!$D$33</f>
        <v/>
      </c>
      <c r="F71" s="37">
        <f>-F9*'Assumptions'!$D$33</f>
        <v/>
      </c>
      <c r="G71" s="37">
        <f>-G9*'Assumptions'!$D$33</f>
        <v/>
      </c>
      <c r="H71" s="37">
        <f>-H9*'Assumptions'!$D$33</f>
        <v/>
      </c>
      <c r="I71" s="37">
        <f>-I9*'Assumptions'!$D$33</f>
        <v/>
      </c>
      <c r="J71" s="37">
        <f>-J9*'Assumptions'!$D$33</f>
        <v/>
      </c>
      <c r="K71" s="37">
        <f>-K9*'Assumptions'!$D$33</f>
        <v/>
      </c>
      <c r="L71" s="37">
        <f>-L9*'Assumptions'!$D$33</f>
        <v/>
      </c>
      <c r="M71" s="37">
        <f>-M9*'Assumptions'!$D$33</f>
        <v/>
      </c>
    </row>
    <row r="72">
      <c r="A72" s="14" t="inlineStr">
        <is>
          <t>FCFF</t>
        </is>
      </c>
      <c r="B72" s="42">
        <f>B68+B69+B70+B71</f>
        <v/>
      </c>
      <c r="C72" s="42">
        <f>C68+C69+C70+C71</f>
        <v/>
      </c>
      <c r="D72" s="42">
        <f>D68+D69+D70+D71</f>
        <v/>
      </c>
      <c r="E72" s="42">
        <f>E68+E69+E70+E71</f>
        <v/>
      </c>
      <c r="F72" s="42">
        <f>F68+F69+F70+F71</f>
        <v/>
      </c>
      <c r="G72" s="42">
        <f>G68+G69+G70+G71</f>
        <v/>
      </c>
      <c r="H72" s="42">
        <f>H68+H69+H70+H71</f>
        <v/>
      </c>
      <c r="I72" s="42">
        <f>I68+I69+I70+I71</f>
        <v/>
      </c>
      <c r="J72" s="42">
        <f>J68+J69+J70+J71</f>
        <v/>
      </c>
      <c r="K72" s="42">
        <f>K68+K69+K70+K71</f>
        <v/>
      </c>
      <c r="L72" s="42">
        <f>L68+L69+L70+L71</f>
        <v/>
      </c>
      <c r="M72" s="42">
        <f>M68+M69+M70+M71</f>
        <v/>
      </c>
    </row>
    <row r="73">
      <c r="A73" s="18" t="inlineStr">
        <is>
          <t xml:space="preserve">  Discount factor</t>
        </is>
      </c>
      <c r="B73" s="40" t="inlineStr">
        <is>
          <t>—</t>
        </is>
      </c>
      <c r="C73" s="40" t="inlineStr">
        <is>
          <t>—</t>
        </is>
      </c>
      <c r="D73" s="43">
        <f>1/((1+'Assumptions'!$B$23)^D63)</f>
        <v/>
      </c>
      <c r="E73" s="43">
        <f>1/((1+'Assumptions'!$B$23)^E63)</f>
        <v/>
      </c>
      <c r="F73" s="43">
        <f>1/((1+'Assumptions'!$B$23)^F63)</f>
        <v/>
      </c>
      <c r="G73" s="43">
        <f>1/((1+'Assumptions'!$B$23)^G63)</f>
        <v/>
      </c>
      <c r="H73" s="43">
        <f>1/((1+'Assumptions'!$B$23)^H63)</f>
        <v/>
      </c>
      <c r="I73" s="43">
        <f>1/((1+'Assumptions'!$B$23)^I63)</f>
        <v/>
      </c>
      <c r="J73" s="43">
        <f>1/((1+'Assumptions'!$B$23)^J63)</f>
        <v/>
      </c>
      <c r="K73" s="43">
        <f>1/((1+'Assumptions'!$B$23)^K63)</f>
        <v/>
      </c>
      <c r="L73" s="43">
        <f>1/((1+'Assumptions'!$B$23)^L63)</f>
        <v/>
      </c>
      <c r="M73" s="43">
        <f>1/((1+'Assumptions'!$B$23)^M63)</f>
        <v/>
      </c>
    </row>
    <row r="74">
      <c r="A74" s="6" t="inlineStr">
        <is>
          <t xml:space="preserve">  PV of FCFF</t>
        </is>
      </c>
      <c r="B74" s="40" t="inlineStr">
        <is>
          <t>—</t>
        </is>
      </c>
      <c r="C74" s="40" t="inlineStr">
        <is>
          <t>—</t>
        </is>
      </c>
      <c r="D74" s="37">
        <f>D72*D73</f>
        <v/>
      </c>
      <c r="E74" s="37">
        <f>E72*E73</f>
        <v/>
      </c>
      <c r="F74" s="37">
        <f>F72*F73</f>
        <v/>
      </c>
      <c r="G74" s="37">
        <f>G72*G73</f>
        <v/>
      </c>
      <c r="H74" s="37">
        <f>H72*H73</f>
        <v/>
      </c>
      <c r="I74" s="37">
        <f>I72*I73</f>
        <v/>
      </c>
      <c r="J74" s="37">
        <f>J72*J73</f>
        <v/>
      </c>
      <c r="K74" s="37">
        <f>K72*K73</f>
        <v/>
      </c>
      <c r="L74" s="37">
        <f>L72*L73</f>
        <v/>
      </c>
      <c r="M74" s="37">
        <f>M72*M73</f>
        <v/>
      </c>
    </row>
    <row r="77">
      <c r="A77" s="9" t="inlineStr">
        <is>
          <t>§ 4  WACC SUMMARY (linked from Assumptions)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6" t="inlineStr">
        <is>
          <t>Risk-free rate (Rf)</t>
        </is>
      </c>
      <c r="B78" s="44">
        <f>'Assumptions'!$B$14</f>
        <v/>
      </c>
    </row>
    <row r="79">
      <c r="A79" s="6" t="inlineStr">
        <is>
          <t>ERP</t>
        </is>
      </c>
      <c r="B79" s="44">
        <f>'Assumptions'!$B$15</f>
        <v/>
      </c>
    </row>
    <row r="80">
      <c r="A80" s="6" t="inlineStr">
        <is>
          <t>Beta</t>
        </is>
      </c>
      <c r="B80" s="45">
        <f>'Assumptions'!$B$16</f>
        <v/>
      </c>
    </row>
    <row r="81">
      <c r="A81" s="6" t="inlineStr">
        <is>
          <t>Cost of equity (Ke)</t>
        </is>
      </c>
      <c r="B81" s="44">
        <f>'Assumptions'!$B$17</f>
        <v/>
      </c>
    </row>
    <row r="82">
      <c r="A82" s="6" t="inlineStr">
        <is>
          <t>Cost of debt after-tax (Kd_AT)</t>
        </is>
      </c>
      <c r="B82" s="44">
        <f>'Assumptions'!$B$20</f>
        <v/>
      </c>
    </row>
    <row r="83">
      <c r="A83" s="6" t="inlineStr">
        <is>
          <t>Equity weight</t>
        </is>
      </c>
      <c r="B83" s="46">
        <f>'Assumptions'!$B$21</f>
        <v/>
      </c>
    </row>
    <row r="84">
      <c r="A84" s="6" t="inlineStr">
        <is>
          <t>Debt weight</t>
        </is>
      </c>
      <c r="B84" s="46">
        <f>'Assumptions'!$B$22</f>
        <v/>
      </c>
    </row>
    <row r="85">
      <c r="A85" s="6" t="inlineStr">
        <is>
          <t>WACC</t>
        </is>
      </c>
      <c r="B85" s="47">
        <f>'Assumptions'!$B$23</f>
        <v/>
      </c>
    </row>
    <row r="87">
      <c r="A87" s="9" t="inlineStr">
        <is>
          <t>§ 5  VALUATION (Bear / Base / Bull)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11" t="inlineStr">
        <is>
          <t>Line item</t>
        </is>
      </c>
      <c r="B88" s="12" t="inlineStr">
        <is>
          <t>Bear</t>
        </is>
      </c>
      <c r="C88" s="12" t="inlineStr">
        <is>
          <t>Base</t>
        </is>
      </c>
      <c r="D88" s="12" t="inlineStr">
        <is>
          <t>Bull</t>
        </is>
      </c>
    </row>
    <row r="89">
      <c r="A89" s="6" t="inlineStr">
        <is>
          <t>Sum PV(FCFFs) — explicit forecast</t>
        </is>
      </c>
      <c r="B89" s="37">
        <f>SUM(D44:M44)</f>
        <v/>
      </c>
      <c r="C89" s="37">
        <f>SUM(D59:M59)</f>
        <v/>
      </c>
      <c r="D89" s="37">
        <f>SUM(D74:M74)</f>
        <v/>
      </c>
    </row>
    <row r="90">
      <c r="A90" s="6" t="inlineStr">
        <is>
          <t>Terminal FCFF (Year N × (1+TGR))</t>
        </is>
      </c>
      <c r="B90" s="37">
        <f>M42*(1+'Assumptions'!$B$34)</f>
        <v/>
      </c>
      <c r="C90" s="37">
        <f>M57*(1+'Assumptions'!$C$34)</f>
        <v/>
      </c>
      <c r="D90" s="37">
        <f>M72*(1+'Assumptions'!$D$34)</f>
        <v/>
      </c>
    </row>
    <row r="91">
      <c r="A91" s="6" t="inlineStr">
        <is>
          <t>Terminal Value (GGM)</t>
        </is>
      </c>
      <c r="B91" s="37">
        <f>B90/('Assumptions'!$B$23-'Assumptions'!$B$34)</f>
        <v/>
      </c>
      <c r="C91" s="37">
        <f>C90/('Assumptions'!$B$23-'Assumptions'!$C$34)</f>
        <v/>
      </c>
      <c r="D91" s="37">
        <f>D90/('Assumptions'!$B$23-'Assumptions'!$D$34)</f>
        <v/>
      </c>
    </row>
    <row r="92">
      <c r="A92" s="6" t="inlineStr">
        <is>
          <t>PV of Terminal Value</t>
        </is>
      </c>
      <c r="B92" s="37">
        <f>B91/((1+'Assumptions'!$B$23)^10)</f>
        <v/>
      </c>
      <c r="C92" s="37">
        <f>C91/((1+'Assumptions'!$B$23)^10)</f>
        <v/>
      </c>
      <c r="D92" s="37">
        <f>D91/((1+'Assumptions'!$B$23)^10)</f>
        <v/>
      </c>
    </row>
    <row r="93">
      <c r="A93" s="3" t="inlineStr">
        <is>
          <t>Enterprise Value</t>
        </is>
      </c>
      <c r="B93" s="48">
        <f>B89+B92</f>
        <v/>
      </c>
      <c r="C93" s="48">
        <f>C89+C92</f>
        <v/>
      </c>
      <c r="D93" s="48">
        <f>D89+D92</f>
        <v/>
      </c>
    </row>
    <row r="94">
      <c r="A94" s="6" t="inlineStr">
        <is>
          <t>+ Net Cash (− Net Debt)</t>
        </is>
      </c>
      <c r="B94" s="13">
        <f>'Assumptions'!$B$10</f>
        <v/>
      </c>
      <c r="C94" s="13">
        <f>'Assumptions'!$B$10</f>
        <v/>
      </c>
      <c r="D94" s="13">
        <f>'Assumptions'!$B$10</f>
        <v/>
      </c>
    </row>
    <row r="95">
      <c r="A95" s="3" t="inlineStr">
        <is>
          <t>Equity Value</t>
        </is>
      </c>
      <c r="B95" s="48">
        <f>B93+B94</f>
        <v/>
      </c>
      <c r="C95" s="48">
        <f>C93+C94</f>
        <v/>
      </c>
      <c r="D95" s="48">
        <f>D93+D94</f>
        <v/>
      </c>
    </row>
    <row r="96">
      <c r="A96" s="6" t="inlineStr">
        <is>
          <t>÷ Diluted shares (mn)</t>
        </is>
      </c>
      <c r="B96" s="49">
        <f>'Assumptions'!$B$9</f>
        <v/>
      </c>
      <c r="C96" s="49">
        <f>'Assumptions'!$B$9</f>
        <v/>
      </c>
      <c r="D96" s="49">
        <f>'Assumptions'!$B$9</f>
        <v/>
      </c>
    </row>
    <row r="97">
      <c r="A97" s="14" t="inlineStr">
        <is>
          <t>Implied Price per Share</t>
        </is>
      </c>
      <c r="B97" s="50">
        <f>B95/'Assumptions'!$B$9</f>
        <v/>
      </c>
      <c r="C97" s="50">
        <f>C95/'Assumptions'!$B$9</f>
        <v/>
      </c>
      <c r="D97" s="50">
        <f>D95/'Assumptions'!$B$9</f>
        <v/>
      </c>
    </row>
    <row r="98">
      <c r="A98" s="8" t="inlineStr">
        <is>
          <t>CMP</t>
        </is>
      </c>
      <c r="B98" s="16">
        <f>'Assumptions'!$B$8</f>
        <v/>
      </c>
      <c r="C98" s="16">
        <f>'Assumptions'!$B$8</f>
        <v/>
      </c>
      <c r="D98" s="16">
        <f>'Assumptions'!$B$8</f>
        <v/>
      </c>
    </row>
    <row r="99">
      <c r="A99" s="14" t="inlineStr">
        <is>
          <t>Upside vs CMP</t>
        </is>
      </c>
      <c r="B99" s="51">
        <f>B97/'Assumptions'!$B$8-1</f>
        <v/>
      </c>
      <c r="C99" s="51">
        <f>C97/'Assumptions'!$B$8-1</f>
        <v/>
      </c>
      <c r="D99" s="51">
        <f>D97/'Assumptions'!$B$8-1</f>
        <v/>
      </c>
    </row>
    <row r="102">
      <c r="A102" s="9" t="inlineStr">
        <is>
          <t>§ 6  SENSITIVITY — Implied price (Base, GGM)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52" t="inlineStr">
        <is>
          <t>WACC ↓  /  TGR →</t>
        </is>
      </c>
      <c r="B103" s="53">
        <f>'Assumptions'!$C$34+(-0.01)</f>
        <v/>
      </c>
      <c r="C103" s="53">
        <f>'Assumptions'!$C$34+(-0.005)</f>
        <v/>
      </c>
      <c r="D103" s="53">
        <f>'Assumptions'!$C$34+(0.0)</f>
        <v/>
      </c>
      <c r="E103" s="53">
        <f>'Assumptions'!$C$34+(0.005)</f>
        <v/>
      </c>
      <c r="F103" s="53">
        <f>'Assumptions'!$C$34+(0.01)</f>
        <v/>
      </c>
    </row>
    <row r="104">
      <c r="A104" s="53">
        <f>'Assumptions'!$B$23+(-0.01)</f>
        <v/>
      </c>
      <c r="B104" s="54">
        <f>(SUMPRODUCT(D57:M57/(1+$A$104)^D48:M48)+M57*(1+$B$103)/($A$104-$B$103)/(1+$A$104)^10+'Assumptions'!$B$10)/'Assumptions'!$B$9</f>
        <v/>
      </c>
      <c r="C104" s="54">
        <f>(SUMPRODUCT(D57:M57/(1+$A$104)^D48:M48)+M57*(1+$C$103)/($A$104-$C$103)/(1+$A$104)^10+'Assumptions'!$B$10)/'Assumptions'!$B$9</f>
        <v/>
      </c>
      <c r="D104" s="54">
        <f>(SUMPRODUCT(D57:M57/(1+$A$104)^D48:M48)+M57*(1+$D$103)/($A$104-$D$103)/(1+$A$104)^10+'Assumptions'!$B$10)/'Assumptions'!$B$9</f>
        <v/>
      </c>
      <c r="E104" s="54">
        <f>(SUMPRODUCT(D57:M57/(1+$A$104)^D48:M48)+M57*(1+$E$103)/($A$104-$E$103)/(1+$A$104)^10+'Assumptions'!$B$10)/'Assumptions'!$B$9</f>
        <v/>
      </c>
      <c r="F104" s="54">
        <f>(SUMPRODUCT(D57:M57/(1+$A$104)^D48:M48)+M57*(1+$F$103)/($A$104-$F$103)/(1+$A$104)^10+'Assumptions'!$B$10)/'Assumptions'!$B$9</f>
        <v/>
      </c>
    </row>
    <row r="105">
      <c r="A105" s="53">
        <f>'Assumptions'!$B$23+(-0.005)</f>
        <v/>
      </c>
      <c r="B105" s="54">
        <f>(SUMPRODUCT(D57:M57/(1+$A$105)^D48:M48)+M57*(1+$B$103)/($A$105-$B$103)/(1+$A$105)^10+'Assumptions'!$B$10)/'Assumptions'!$B$9</f>
        <v/>
      </c>
      <c r="C105" s="54">
        <f>(SUMPRODUCT(D57:M57/(1+$A$105)^D48:M48)+M57*(1+$C$103)/($A$105-$C$103)/(1+$A$105)^10+'Assumptions'!$B$10)/'Assumptions'!$B$9</f>
        <v/>
      </c>
      <c r="D105" s="54">
        <f>(SUMPRODUCT(D57:M57/(1+$A$105)^D48:M48)+M57*(1+$D$103)/($A$105-$D$103)/(1+$A$105)^10+'Assumptions'!$B$10)/'Assumptions'!$B$9</f>
        <v/>
      </c>
      <c r="E105" s="54">
        <f>(SUMPRODUCT(D57:M57/(1+$A$105)^D48:M48)+M57*(1+$E$103)/($A$105-$E$103)/(1+$A$105)^10+'Assumptions'!$B$10)/'Assumptions'!$B$9</f>
        <v/>
      </c>
      <c r="F105" s="54">
        <f>(SUMPRODUCT(D57:M57/(1+$A$105)^D48:M48)+M57*(1+$F$103)/($A$105-$F$103)/(1+$A$105)^10+'Assumptions'!$B$10)/'Assumptions'!$B$9</f>
        <v/>
      </c>
    </row>
    <row r="106">
      <c r="A106" s="53">
        <f>'Assumptions'!$B$23+(0.0)</f>
        <v/>
      </c>
      <c r="B106" s="54">
        <f>(SUMPRODUCT(D57:M57/(1+$A$106)^D48:M48)+M57*(1+$B$103)/($A$106-$B$103)/(1+$A$106)^10+'Assumptions'!$B$10)/'Assumptions'!$B$9</f>
        <v/>
      </c>
      <c r="C106" s="54">
        <f>(SUMPRODUCT(D57:M57/(1+$A$106)^D48:M48)+M57*(1+$C$103)/($A$106-$C$103)/(1+$A$106)^10+'Assumptions'!$B$10)/'Assumptions'!$B$9</f>
        <v/>
      </c>
      <c r="D106" s="50">
        <f>(SUMPRODUCT(D57:M57/(1+$A$106)^D48:M48)+M57*(1+$D$103)/($A$106-$D$103)/(1+$A$106)^10+'Assumptions'!$B$10)/'Assumptions'!$B$9</f>
        <v/>
      </c>
      <c r="E106" s="54">
        <f>(SUMPRODUCT(D57:M57/(1+$A$106)^D48:M48)+M57*(1+$E$103)/($A$106-$E$103)/(1+$A$106)^10+'Assumptions'!$B$10)/'Assumptions'!$B$9</f>
        <v/>
      </c>
      <c r="F106" s="54">
        <f>(SUMPRODUCT(D57:M57/(1+$A$106)^D48:M48)+M57*(1+$F$103)/($A$106-$F$103)/(1+$A$106)^10+'Assumptions'!$B$10)/'Assumptions'!$B$9</f>
        <v/>
      </c>
    </row>
    <row r="107">
      <c r="A107" s="53">
        <f>'Assumptions'!$B$23+(0.005)</f>
        <v/>
      </c>
      <c r="B107" s="54">
        <f>(SUMPRODUCT(D57:M57/(1+$A$107)^D48:M48)+M57*(1+$B$103)/($A$107-$B$103)/(1+$A$107)^10+'Assumptions'!$B$10)/'Assumptions'!$B$9</f>
        <v/>
      </c>
      <c r="C107" s="54">
        <f>(SUMPRODUCT(D57:M57/(1+$A$107)^D48:M48)+M57*(1+$C$103)/($A$107-$C$103)/(1+$A$107)^10+'Assumptions'!$B$10)/'Assumptions'!$B$9</f>
        <v/>
      </c>
      <c r="D107" s="54">
        <f>(SUMPRODUCT(D57:M57/(1+$A$107)^D48:M48)+M57*(1+$D$103)/($A$107-$D$103)/(1+$A$107)^10+'Assumptions'!$B$10)/'Assumptions'!$B$9</f>
        <v/>
      </c>
      <c r="E107" s="54">
        <f>(SUMPRODUCT(D57:M57/(1+$A$107)^D48:M48)+M57*(1+$E$103)/($A$107-$E$103)/(1+$A$107)^10+'Assumptions'!$B$10)/'Assumptions'!$B$9</f>
        <v/>
      </c>
      <c r="F107" s="54">
        <f>(SUMPRODUCT(D57:M57/(1+$A$107)^D48:M48)+M57*(1+$F$103)/($A$107-$F$103)/(1+$A$107)^10+'Assumptions'!$B$10)/'Assumptions'!$B$9</f>
        <v/>
      </c>
    </row>
    <row r="108">
      <c r="A108" s="53">
        <f>'Assumptions'!$B$23+(0.01)</f>
        <v/>
      </c>
      <c r="B108" s="54">
        <f>(SUMPRODUCT(D57:M57/(1+$A$108)^D48:M48)+M57*(1+$B$103)/($A$108-$B$103)/(1+$A$108)^10+'Assumptions'!$B$10)/'Assumptions'!$B$9</f>
        <v/>
      </c>
      <c r="C108" s="54">
        <f>(SUMPRODUCT(D57:M57/(1+$A$108)^D48:M48)+M57*(1+$C$103)/($A$108-$C$103)/(1+$A$108)^10+'Assumptions'!$B$10)/'Assumptions'!$B$9</f>
        <v/>
      </c>
      <c r="D108" s="54">
        <f>(SUMPRODUCT(D57:M57/(1+$A$108)^D48:M48)+M57*(1+$D$103)/($A$108-$D$103)/(1+$A$108)^10+'Assumptions'!$B$10)/'Assumptions'!$B$9</f>
        <v/>
      </c>
      <c r="E108" s="54">
        <f>(SUMPRODUCT(D57:M57/(1+$A$108)^D48:M48)+M57*(1+$E$103)/($A$108-$E$103)/(1+$A$108)^10+'Assumptions'!$B$10)/'Assumptions'!$B$9</f>
        <v/>
      </c>
      <c r="F108" s="54">
        <f>(SUMPRODUCT(D57:M57/(1+$A$108)^D48:M48)+M57*(1+$F$103)/($A$108-$F$103)/(1+$A$108)^10+'Assumptions'!$B$10)/'Assumptions'!$B$9</f>
        <v/>
      </c>
    </row>
    <row r="111">
      <c r="A111" s="9" t="inlineStr">
        <is>
          <t>§ 7  REVERSE DCF — what is CMP implying?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6" t="inlineStr">
        <is>
          <t>Implied Equity Value at CMP</t>
        </is>
      </c>
      <c r="B112" s="37">
        <f>'Assumptions'!$B$8*'Assumptions'!$B$9</f>
        <v/>
      </c>
    </row>
    <row r="113">
      <c r="A113" s="6" t="inlineStr">
        <is>
          <t>Implied Enterprise Value at CMP</t>
        </is>
      </c>
      <c r="B113" s="37">
        <f>B112-'Assumptions'!$B$10</f>
        <v/>
      </c>
    </row>
    <row r="114">
      <c r="A114" s="6" t="inlineStr">
        <is>
          <t>DCF EV (Base scenario)</t>
        </is>
      </c>
      <c r="B114" s="13">
        <f>C93</f>
        <v/>
      </c>
    </row>
    <row r="115">
      <c r="A115" s="3" t="inlineStr">
        <is>
          <t>Gap (Implied − DCF)</t>
        </is>
      </c>
      <c r="B115" s="48">
        <f>B113-B114</f>
        <v/>
      </c>
    </row>
    <row r="117">
      <c r="A117" s="3" t="inlineStr">
        <is>
          <t>Implied TGR at CMP (holding Base FCFFs &amp; WACC fixed)</t>
        </is>
      </c>
      <c r="B117" s="29">
        <f>((B113-C89)*(1+'Assumptions'!$B$23)^10*'Assumptions'!$B$23-M57)/((B113-C89)*(1+'Assumptions'!$B$23)^10+M57)</f>
        <v/>
      </c>
    </row>
    <row r="118">
      <c r="A118" s="6" t="inlineStr">
        <is>
          <t>Implied terminal FCFF at CMP (assuming Base TGR)</t>
        </is>
      </c>
      <c r="B118" s="37">
        <f>(B113-C89)*(1+'Assumptions'!$B$23)^10*('Assumptions'!$B$23-'Assumptions'!$C$34)/(1+'Assumptions'!$C$34)</f>
        <v/>
      </c>
    </row>
    <row r="119">
      <c r="A119" s="18" t="inlineStr">
        <is>
          <t xml:space="preserve">  vs Base scenario terminal FCFF (explicit)</t>
        </is>
      </c>
      <c r="B119" s="13">
        <f>C90</f>
        <v/>
      </c>
    </row>
  </sheetData>
  <printOptions horizontalCentered="0"/>
  <pageMargins left="0.4" right="0.4" top="0.5" bottom="0.5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55" t="inlineStr">
        <is>
          <t>RETURNS — DCF Intrinsic (exit = DCF intrinsic value only)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</row>
    <row r="3">
      <c r="A3" s="3" t="inlineStr">
        <is>
          <t>Approach: A — DCF Intrinsic</t>
        </is>
      </c>
    </row>
    <row r="4">
      <c r="A4" s="18" t="inlineStr">
        <is>
          <t>Exit prices from DCF intrinsic value only; no market multiple applied.</t>
        </is>
      </c>
    </row>
    <row r="6">
      <c r="A6" s="57" t="inlineStr">
        <is>
          <t>▸ BEAR CASE</t>
        </is>
      </c>
      <c r="B6" s="58" t="n"/>
      <c r="C6" s="58" t="n"/>
      <c r="D6" s="58" t="n"/>
      <c r="E6" s="58" t="n"/>
      <c r="F6" s="58" t="n"/>
    </row>
    <row r="7">
      <c r="A7" s="59" t="inlineStr">
        <is>
          <t>Entry price ↓ / Holding period →</t>
        </is>
      </c>
      <c r="B7" s="60" t="inlineStr">
        <is>
          <t>3 yr</t>
        </is>
      </c>
      <c r="C7" s="60" t="inlineStr">
        <is>
          <t>5 yr</t>
        </is>
      </c>
      <c r="D7" s="60" t="inlineStr">
        <is>
          <t>7 yr</t>
        </is>
      </c>
      <c r="E7" s="60" t="inlineStr">
        <is>
          <t>10 yr</t>
        </is>
      </c>
      <c r="F7" s="60" t="inlineStr">
        <is>
          <t>Exit price (DCF intrinsic)</t>
        </is>
      </c>
    </row>
    <row r="8">
      <c r="A8" s="54">
        <f>'Assumptions'!$B$8*(1+-0.3)</f>
        <v/>
      </c>
      <c r="B8" s="28">
        <f>('DCF'!$B$97/A8)^(1/3)-1</f>
        <v/>
      </c>
      <c r="C8" s="28">
        <f>('DCF'!$B$97/A8)^(1/5)-1</f>
        <v/>
      </c>
      <c r="D8" s="28">
        <f>('DCF'!$B$97/A8)^(1/7)-1</f>
        <v/>
      </c>
      <c r="E8" s="28">
        <f>('DCF'!$B$97/A8)^(1/10)-1</f>
        <v/>
      </c>
      <c r="F8" s="61">
        <f>'DCF'!$B$97</f>
        <v/>
      </c>
    </row>
    <row r="9">
      <c r="A9" s="54">
        <f>'Assumptions'!$B$8*(1+-0.2)</f>
        <v/>
      </c>
      <c r="B9" s="28">
        <f>('DCF'!$B$97/A9)^(1/3)-1</f>
        <v/>
      </c>
      <c r="C9" s="28">
        <f>('DCF'!$B$97/A9)^(1/5)-1</f>
        <v/>
      </c>
      <c r="D9" s="28">
        <f>('DCF'!$B$97/A9)^(1/7)-1</f>
        <v/>
      </c>
      <c r="E9" s="28">
        <f>('DCF'!$B$97/A9)^(1/10)-1</f>
        <v/>
      </c>
      <c r="F9" s="61">
        <f>'DCF'!$B$97</f>
        <v/>
      </c>
    </row>
    <row r="10">
      <c r="A10" s="54">
        <f>'Assumptions'!$B$8*(1+-0.1)</f>
        <v/>
      </c>
      <c r="B10" s="28">
        <f>('DCF'!$B$97/A10)^(1/3)-1</f>
        <v/>
      </c>
      <c r="C10" s="28">
        <f>('DCF'!$B$97/A10)^(1/5)-1</f>
        <v/>
      </c>
      <c r="D10" s="28">
        <f>('DCF'!$B$97/A10)^(1/7)-1</f>
        <v/>
      </c>
      <c r="E10" s="28">
        <f>('DCF'!$B$97/A10)^(1/10)-1</f>
        <v/>
      </c>
      <c r="F10" s="61">
        <f>'DCF'!$B$97</f>
        <v/>
      </c>
    </row>
    <row r="11">
      <c r="A11" s="62">
        <f>'Assumptions'!$B$8*(1+0.0)</f>
        <v/>
      </c>
      <c r="B11" s="63">
        <f>('DCF'!$B$97/A11)^(1/3)-1</f>
        <v/>
      </c>
      <c r="C11" s="63">
        <f>('DCF'!$B$97/A11)^(1/5)-1</f>
        <v/>
      </c>
      <c r="D11" s="63">
        <f>('DCF'!$B$97/A11)^(1/7)-1</f>
        <v/>
      </c>
      <c r="E11" s="63">
        <f>('DCF'!$B$97/A11)^(1/10)-1</f>
        <v/>
      </c>
      <c r="F11" s="16">
        <f>'DCF'!$B$97</f>
        <v/>
      </c>
    </row>
    <row r="12">
      <c r="A12" s="54">
        <f>'Assumptions'!$B$8*(1+0.1)</f>
        <v/>
      </c>
      <c r="B12" s="28">
        <f>('DCF'!$B$97/A12)^(1/3)-1</f>
        <v/>
      </c>
      <c r="C12" s="28">
        <f>('DCF'!$B$97/A12)^(1/5)-1</f>
        <v/>
      </c>
      <c r="D12" s="28">
        <f>('DCF'!$B$97/A12)^(1/7)-1</f>
        <v/>
      </c>
      <c r="E12" s="28">
        <f>('DCF'!$B$97/A12)^(1/10)-1</f>
        <v/>
      </c>
      <c r="F12" s="61">
        <f>'DCF'!$B$97</f>
        <v/>
      </c>
    </row>
    <row r="13">
      <c r="A13" s="54">
        <f>'Assumptions'!$B$8*(1+0.2)</f>
        <v/>
      </c>
      <c r="B13" s="28">
        <f>('DCF'!$B$97/A13)^(1/3)-1</f>
        <v/>
      </c>
      <c r="C13" s="28">
        <f>('DCF'!$B$97/A13)^(1/5)-1</f>
        <v/>
      </c>
      <c r="D13" s="28">
        <f>('DCF'!$B$97/A13)^(1/7)-1</f>
        <v/>
      </c>
      <c r="E13" s="28">
        <f>('DCF'!$B$97/A13)^(1/10)-1</f>
        <v/>
      </c>
      <c r="F13" s="61">
        <f>'DCF'!$B$97</f>
        <v/>
      </c>
    </row>
    <row r="14">
      <c r="A14" s="54">
        <f>'Assumptions'!$B$8*(1+0.3)</f>
        <v/>
      </c>
      <c r="B14" s="28">
        <f>('DCF'!$B$97/A14)^(1/3)-1</f>
        <v/>
      </c>
      <c r="C14" s="28">
        <f>('DCF'!$B$97/A14)^(1/5)-1</f>
        <v/>
      </c>
      <c r="D14" s="28">
        <f>('DCF'!$B$97/A14)^(1/7)-1</f>
        <v/>
      </c>
      <c r="E14" s="28">
        <f>('DCF'!$B$97/A14)^(1/10)-1</f>
        <v/>
      </c>
      <c r="F14" s="61">
        <f>'DCF'!$B$97</f>
        <v/>
      </c>
    </row>
    <row r="16">
      <c r="A16" s="59" t="inlineStr">
        <is>
          <t>Max entry for target IRR</t>
        </is>
      </c>
      <c r="B16" s="60" t="inlineStr">
        <is>
          <t>3 yr</t>
        </is>
      </c>
      <c r="C16" s="60" t="inlineStr">
        <is>
          <t>5 yr</t>
        </is>
      </c>
      <c r="D16" s="60" t="inlineStr">
        <is>
          <t>7 yr</t>
        </is>
      </c>
      <c r="E16" s="60" t="inlineStr">
        <is>
          <t>10 yr</t>
        </is>
      </c>
    </row>
    <row r="17">
      <c r="A17" s="6" t="inlineStr">
        <is>
          <t xml:space="preserve">  10% IRR target</t>
        </is>
      </c>
      <c r="B17" s="54">
        <f>'DCF'!$B$97/(1+0.1)^3</f>
        <v/>
      </c>
      <c r="C17" s="54">
        <f>'DCF'!$B$97/(1+0.1)^5</f>
        <v/>
      </c>
      <c r="D17" s="54">
        <f>'DCF'!$B$97/(1+0.1)^7</f>
        <v/>
      </c>
      <c r="E17" s="54">
        <f>'DCF'!$B$97/(1+0.1)^10</f>
        <v/>
      </c>
    </row>
    <row r="18">
      <c r="A18" s="6" t="inlineStr">
        <is>
          <t xml:space="preserve">  15% IRR target</t>
        </is>
      </c>
      <c r="B18" s="54">
        <f>'DCF'!$B$97/(1+0.15)^3</f>
        <v/>
      </c>
      <c r="C18" s="54">
        <f>'DCF'!$B$97/(1+0.15)^5</f>
        <v/>
      </c>
      <c r="D18" s="54">
        <f>'DCF'!$B$97/(1+0.15)^7</f>
        <v/>
      </c>
      <c r="E18" s="54">
        <f>'DCF'!$B$97/(1+0.15)^10</f>
        <v/>
      </c>
    </row>
    <row r="19">
      <c r="A19" s="14" t="inlineStr">
        <is>
          <t xml:space="preserve">  20% IRR target</t>
        </is>
      </c>
      <c r="B19" s="50">
        <f>'DCF'!$B$97/(1+0.2)^3</f>
        <v/>
      </c>
      <c r="C19" s="50">
        <f>'DCF'!$B$97/(1+0.2)^5</f>
        <v/>
      </c>
      <c r="D19" s="50">
        <f>'DCF'!$B$97/(1+0.2)^7</f>
        <v/>
      </c>
      <c r="E19" s="50">
        <f>'DCF'!$B$97/(1+0.2)^10</f>
        <v/>
      </c>
    </row>
    <row r="20">
      <c r="A20" s="6" t="inlineStr">
        <is>
          <t xml:space="preserve">  25% IRR target</t>
        </is>
      </c>
      <c r="B20" s="54">
        <f>'DCF'!$B$97/(1+0.25)^3</f>
        <v/>
      </c>
      <c r="C20" s="54">
        <f>'DCF'!$B$97/(1+0.25)^5</f>
        <v/>
      </c>
      <c r="D20" s="54">
        <f>'DCF'!$B$97/(1+0.25)^7</f>
        <v/>
      </c>
      <c r="E20" s="54">
        <f>'DCF'!$B$97/(1+0.25)^10</f>
        <v/>
      </c>
    </row>
    <row r="21">
      <c r="A21" s="6" t="inlineStr">
        <is>
          <t xml:space="preserve">  30% IRR target</t>
        </is>
      </c>
      <c r="B21" s="54">
        <f>'DCF'!$B$97/(1+0.3)^3</f>
        <v/>
      </c>
      <c r="C21" s="54">
        <f>'DCF'!$B$97/(1+0.3)^5</f>
        <v/>
      </c>
      <c r="D21" s="54">
        <f>'DCF'!$B$97/(1+0.3)^7</f>
        <v/>
      </c>
      <c r="E21" s="54">
        <f>'DCF'!$B$97/(1+0.3)^10</f>
        <v/>
      </c>
    </row>
    <row r="24">
      <c r="A24" s="57" t="inlineStr">
        <is>
          <t>▸ BASE CASE</t>
        </is>
      </c>
      <c r="B24" s="58" t="n"/>
      <c r="C24" s="58" t="n"/>
      <c r="D24" s="58" t="n"/>
      <c r="E24" s="58" t="n"/>
      <c r="F24" s="58" t="n"/>
    </row>
    <row r="25">
      <c r="A25" s="59" t="inlineStr">
        <is>
          <t>Entry price ↓ / Holding period →</t>
        </is>
      </c>
      <c r="B25" s="60" t="inlineStr">
        <is>
          <t>3 yr</t>
        </is>
      </c>
      <c r="C25" s="60" t="inlineStr">
        <is>
          <t>5 yr</t>
        </is>
      </c>
      <c r="D25" s="60" t="inlineStr">
        <is>
          <t>7 yr</t>
        </is>
      </c>
      <c r="E25" s="60" t="inlineStr">
        <is>
          <t>10 yr</t>
        </is>
      </c>
      <c r="F25" s="60" t="inlineStr">
        <is>
          <t>Exit price (DCF intrinsic)</t>
        </is>
      </c>
    </row>
    <row r="26">
      <c r="A26" s="54">
        <f>'Assumptions'!$B$8*(1+-0.3)</f>
        <v/>
      </c>
      <c r="B26" s="28">
        <f>('DCF'!$C$97/A26)^(1/3)-1</f>
        <v/>
      </c>
      <c r="C26" s="28">
        <f>('DCF'!$C$97/A26)^(1/5)-1</f>
        <v/>
      </c>
      <c r="D26" s="28">
        <f>('DCF'!$C$97/A26)^(1/7)-1</f>
        <v/>
      </c>
      <c r="E26" s="28">
        <f>('DCF'!$C$97/A26)^(1/10)-1</f>
        <v/>
      </c>
      <c r="F26" s="61">
        <f>'DCF'!$C$97</f>
        <v/>
      </c>
    </row>
    <row r="27">
      <c r="A27" s="54">
        <f>'Assumptions'!$B$8*(1+-0.2)</f>
        <v/>
      </c>
      <c r="B27" s="28">
        <f>('DCF'!$C$97/A27)^(1/3)-1</f>
        <v/>
      </c>
      <c r="C27" s="28">
        <f>('DCF'!$C$97/A27)^(1/5)-1</f>
        <v/>
      </c>
      <c r="D27" s="28">
        <f>('DCF'!$C$97/A27)^(1/7)-1</f>
        <v/>
      </c>
      <c r="E27" s="28">
        <f>('DCF'!$C$97/A27)^(1/10)-1</f>
        <v/>
      </c>
      <c r="F27" s="61">
        <f>'DCF'!$C$97</f>
        <v/>
      </c>
    </row>
    <row r="28">
      <c r="A28" s="54">
        <f>'Assumptions'!$B$8*(1+-0.1)</f>
        <v/>
      </c>
      <c r="B28" s="28">
        <f>('DCF'!$C$97/A28)^(1/3)-1</f>
        <v/>
      </c>
      <c r="C28" s="28">
        <f>('DCF'!$C$97/A28)^(1/5)-1</f>
        <v/>
      </c>
      <c r="D28" s="28">
        <f>('DCF'!$C$97/A28)^(1/7)-1</f>
        <v/>
      </c>
      <c r="E28" s="28">
        <f>('DCF'!$C$97/A28)^(1/10)-1</f>
        <v/>
      </c>
      <c r="F28" s="61">
        <f>'DCF'!$C$97</f>
        <v/>
      </c>
    </row>
    <row r="29">
      <c r="A29" s="62">
        <f>'Assumptions'!$B$8*(1+0.0)</f>
        <v/>
      </c>
      <c r="B29" s="63">
        <f>('DCF'!$C$97/A29)^(1/3)-1</f>
        <v/>
      </c>
      <c r="C29" s="63">
        <f>('DCF'!$C$97/A29)^(1/5)-1</f>
        <v/>
      </c>
      <c r="D29" s="63">
        <f>('DCF'!$C$97/A29)^(1/7)-1</f>
        <v/>
      </c>
      <c r="E29" s="63">
        <f>('DCF'!$C$97/A29)^(1/10)-1</f>
        <v/>
      </c>
      <c r="F29" s="16">
        <f>'DCF'!$C$97</f>
        <v/>
      </c>
    </row>
    <row r="30">
      <c r="A30" s="54">
        <f>'Assumptions'!$B$8*(1+0.1)</f>
        <v/>
      </c>
      <c r="B30" s="28">
        <f>('DCF'!$C$97/A30)^(1/3)-1</f>
        <v/>
      </c>
      <c r="C30" s="28">
        <f>('DCF'!$C$97/A30)^(1/5)-1</f>
        <v/>
      </c>
      <c r="D30" s="28">
        <f>('DCF'!$C$97/A30)^(1/7)-1</f>
        <v/>
      </c>
      <c r="E30" s="28">
        <f>('DCF'!$C$97/A30)^(1/10)-1</f>
        <v/>
      </c>
      <c r="F30" s="61">
        <f>'DCF'!$C$97</f>
        <v/>
      </c>
    </row>
    <row r="31">
      <c r="A31" s="54">
        <f>'Assumptions'!$B$8*(1+0.2)</f>
        <v/>
      </c>
      <c r="B31" s="28">
        <f>('DCF'!$C$97/A31)^(1/3)-1</f>
        <v/>
      </c>
      <c r="C31" s="28">
        <f>('DCF'!$C$97/A31)^(1/5)-1</f>
        <v/>
      </c>
      <c r="D31" s="28">
        <f>('DCF'!$C$97/A31)^(1/7)-1</f>
        <v/>
      </c>
      <c r="E31" s="28">
        <f>('DCF'!$C$97/A31)^(1/10)-1</f>
        <v/>
      </c>
      <c r="F31" s="61">
        <f>'DCF'!$C$97</f>
        <v/>
      </c>
    </row>
    <row r="32">
      <c r="A32" s="54">
        <f>'Assumptions'!$B$8*(1+0.3)</f>
        <v/>
      </c>
      <c r="B32" s="28">
        <f>('DCF'!$C$97/A32)^(1/3)-1</f>
        <v/>
      </c>
      <c r="C32" s="28">
        <f>('DCF'!$C$97/A32)^(1/5)-1</f>
        <v/>
      </c>
      <c r="D32" s="28">
        <f>('DCF'!$C$97/A32)^(1/7)-1</f>
        <v/>
      </c>
      <c r="E32" s="28">
        <f>('DCF'!$C$97/A32)^(1/10)-1</f>
        <v/>
      </c>
      <c r="F32" s="61">
        <f>'DCF'!$C$97</f>
        <v/>
      </c>
    </row>
    <row r="34">
      <c r="A34" s="59" t="inlineStr">
        <is>
          <t>Max entry for target IRR</t>
        </is>
      </c>
      <c r="B34" s="60" t="inlineStr">
        <is>
          <t>3 yr</t>
        </is>
      </c>
      <c r="C34" s="60" t="inlineStr">
        <is>
          <t>5 yr</t>
        </is>
      </c>
      <c r="D34" s="60" t="inlineStr">
        <is>
          <t>7 yr</t>
        </is>
      </c>
      <c r="E34" s="60" t="inlineStr">
        <is>
          <t>10 yr</t>
        </is>
      </c>
    </row>
    <row r="35">
      <c r="A35" s="6" t="inlineStr">
        <is>
          <t xml:space="preserve">  10% IRR target</t>
        </is>
      </c>
      <c r="B35" s="54">
        <f>'DCF'!$C$97/(1+0.1)^3</f>
        <v/>
      </c>
      <c r="C35" s="54">
        <f>'DCF'!$C$97/(1+0.1)^5</f>
        <v/>
      </c>
      <c r="D35" s="54">
        <f>'DCF'!$C$97/(1+0.1)^7</f>
        <v/>
      </c>
      <c r="E35" s="54">
        <f>'DCF'!$C$97/(1+0.1)^10</f>
        <v/>
      </c>
    </row>
    <row r="36">
      <c r="A36" s="6" t="inlineStr">
        <is>
          <t xml:space="preserve">  15% IRR target</t>
        </is>
      </c>
      <c r="B36" s="54">
        <f>'DCF'!$C$97/(1+0.15)^3</f>
        <v/>
      </c>
      <c r="C36" s="54">
        <f>'DCF'!$C$97/(1+0.15)^5</f>
        <v/>
      </c>
      <c r="D36" s="54">
        <f>'DCF'!$C$97/(1+0.15)^7</f>
        <v/>
      </c>
      <c r="E36" s="54">
        <f>'DCF'!$C$97/(1+0.15)^10</f>
        <v/>
      </c>
    </row>
    <row r="37">
      <c r="A37" s="14" t="inlineStr">
        <is>
          <t xml:space="preserve">  20% IRR target</t>
        </is>
      </c>
      <c r="B37" s="50">
        <f>'DCF'!$C$97/(1+0.2)^3</f>
        <v/>
      </c>
      <c r="C37" s="50">
        <f>'DCF'!$C$97/(1+0.2)^5</f>
        <v/>
      </c>
      <c r="D37" s="50">
        <f>'DCF'!$C$97/(1+0.2)^7</f>
        <v/>
      </c>
      <c r="E37" s="50">
        <f>'DCF'!$C$97/(1+0.2)^10</f>
        <v/>
      </c>
    </row>
    <row r="38">
      <c r="A38" s="6" t="inlineStr">
        <is>
          <t xml:space="preserve">  25% IRR target</t>
        </is>
      </c>
      <c r="B38" s="54">
        <f>'DCF'!$C$97/(1+0.25)^3</f>
        <v/>
      </c>
      <c r="C38" s="54">
        <f>'DCF'!$C$97/(1+0.25)^5</f>
        <v/>
      </c>
      <c r="D38" s="54">
        <f>'DCF'!$C$97/(1+0.25)^7</f>
        <v/>
      </c>
      <c r="E38" s="54">
        <f>'DCF'!$C$97/(1+0.25)^10</f>
        <v/>
      </c>
    </row>
    <row r="39">
      <c r="A39" s="6" t="inlineStr">
        <is>
          <t xml:space="preserve">  30% IRR target</t>
        </is>
      </c>
      <c r="B39" s="54">
        <f>'DCF'!$C$97/(1+0.3)^3</f>
        <v/>
      </c>
      <c r="C39" s="54">
        <f>'DCF'!$C$97/(1+0.3)^5</f>
        <v/>
      </c>
      <c r="D39" s="54">
        <f>'DCF'!$C$97/(1+0.3)^7</f>
        <v/>
      </c>
      <c r="E39" s="54">
        <f>'DCF'!$C$97/(1+0.3)^10</f>
        <v/>
      </c>
    </row>
    <row r="42">
      <c r="A42" s="57" t="inlineStr">
        <is>
          <t>▸ BULL CASE</t>
        </is>
      </c>
      <c r="B42" s="58" t="n"/>
      <c r="C42" s="58" t="n"/>
      <c r="D42" s="58" t="n"/>
      <c r="E42" s="58" t="n"/>
      <c r="F42" s="58" t="n"/>
    </row>
    <row r="43">
      <c r="A43" s="59" t="inlineStr">
        <is>
          <t>Entry price ↓ / Holding period →</t>
        </is>
      </c>
      <c r="B43" s="60" t="inlineStr">
        <is>
          <t>3 yr</t>
        </is>
      </c>
      <c r="C43" s="60" t="inlineStr">
        <is>
          <t>5 yr</t>
        </is>
      </c>
      <c r="D43" s="60" t="inlineStr">
        <is>
          <t>7 yr</t>
        </is>
      </c>
      <c r="E43" s="60" t="inlineStr">
        <is>
          <t>10 yr</t>
        </is>
      </c>
      <c r="F43" s="60" t="inlineStr">
        <is>
          <t>Exit price (DCF intrinsic)</t>
        </is>
      </c>
    </row>
    <row r="44">
      <c r="A44" s="54">
        <f>'Assumptions'!$B$8*(1+-0.3)</f>
        <v/>
      </c>
      <c r="B44" s="28">
        <f>('DCF'!$D$97/A44)^(1/3)-1</f>
        <v/>
      </c>
      <c r="C44" s="28">
        <f>('DCF'!$D$97/A44)^(1/5)-1</f>
        <v/>
      </c>
      <c r="D44" s="28">
        <f>('DCF'!$D$97/A44)^(1/7)-1</f>
        <v/>
      </c>
      <c r="E44" s="28">
        <f>('DCF'!$D$97/A44)^(1/10)-1</f>
        <v/>
      </c>
      <c r="F44" s="61">
        <f>'DCF'!$D$97</f>
        <v/>
      </c>
    </row>
    <row r="45">
      <c r="A45" s="54">
        <f>'Assumptions'!$B$8*(1+-0.2)</f>
        <v/>
      </c>
      <c r="B45" s="28">
        <f>('DCF'!$D$97/A45)^(1/3)-1</f>
        <v/>
      </c>
      <c r="C45" s="28">
        <f>('DCF'!$D$97/A45)^(1/5)-1</f>
        <v/>
      </c>
      <c r="D45" s="28">
        <f>('DCF'!$D$97/A45)^(1/7)-1</f>
        <v/>
      </c>
      <c r="E45" s="28">
        <f>('DCF'!$D$97/A45)^(1/10)-1</f>
        <v/>
      </c>
      <c r="F45" s="61">
        <f>'DCF'!$D$97</f>
        <v/>
      </c>
    </row>
    <row r="46">
      <c r="A46" s="54">
        <f>'Assumptions'!$B$8*(1+-0.1)</f>
        <v/>
      </c>
      <c r="B46" s="28">
        <f>('DCF'!$D$97/A46)^(1/3)-1</f>
        <v/>
      </c>
      <c r="C46" s="28">
        <f>('DCF'!$D$97/A46)^(1/5)-1</f>
        <v/>
      </c>
      <c r="D46" s="28">
        <f>('DCF'!$D$97/A46)^(1/7)-1</f>
        <v/>
      </c>
      <c r="E46" s="28">
        <f>('DCF'!$D$97/A46)^(1/10)-1</f>
        <v/>
      </c>
      <c r="F46" s="61">
        <f>'DCF'!$D$97</f>
        <v/>
      </c>
    </row>
    <row r="47">
      <c r="A47" s="62">
        <f>'Assumptions'!$B$8*(1+0.0)</f>
        <v/>
      </c>
      <c r="B47" s="63">
        <f>('DCF'!$D$97/A47)^(1/3)-1</f>
        <v/>
      </c>
      <c r="C47" s="63">
        <f>('DCF'!$D$97/A47)^(1/5)-1</f>
        <v/>
      </c>
      <c r="D47" s="63">
        <f>('DCF'!$D$97/A47)^(1/7)-1</f>
        <v/>
      </c>
      <c r="E47" s="63">
        <f>('DCF'!$D$97/A47)^(1/10)-1</f>
        <v/>
      </c>
      <c r="F47" s="16">
        <f>'DCF'!$D$97</f>
        <v/>
      </c>
    </row>
    <row r="48">
      <c r="A48" s="54">
        <f>'Assumptions'!$B$8*(1+0.1)</f>
        <v/>
      </c>
      <c r="B48" s="28">
        <f>('DCF'!$D$97/A48)^(1/3)-1</f>
        <v/>
      </c>
      <c r="C48" s="28">
        <f>('DCF'!$D$97/A48)^(1/5)-1</f>
        <v/>
      </c>
      <c r="D48" s="28">
        <f>('DCF'!$D$97/A48)^(1/7)-1</f>
        <v/>
      </c>
      <c r="E48" s="28">
        <f>('DCF'!$D$97/A48)^(1/10)-1</f>
        <v/>
      </c>
      <c r="F48" s="61">
        <f>'DCF'!$D$97</f>
        <v/>
      </c>
    </row>
    <row r="49">
      <c r="A49" s="54">
        <f>'Assumptions'!$B$8*(1+0.2)</f>
        <v/>
      </c>
      <c r="B49" s="28">
        <f>('DCF'!$D$97/A49)^(1/3)-1</f>
        <v/>
      </c>
      <c r="C49" s="28">
        <f>('DCF'!$D$97/A49)^(1/5)-1</f>
        <v/>
      </c>
      <c r="D49" s="28">
        <f>('DCF'!$D$97/A49)^(1/7)-1</f>
        <v/>
      </c>
      <c r="E49" s="28">
        <f>('DCF'!$D$97/A49)^(1/10)-1</f>
        <v/>
      </c>
      <c r="F49" s="61">
        <f>'DCF'!$D$97</f>
        <v/>
      </c>
    </row>
    <row r="50">
      <c r="A50" s="54">
        <f>'Assumptions'!$B$8*(1+0.3)</f>
        <v/>
      </c>
      <c r="B50" s="28">
        <f>('DCF'!$D$97/A50)^(1/3)-1</f>
        <v/>
      </c>
      <c r="C50" s="28">
        <f>('DCF'!$D$97/A50)^(1/5)-1</f>
        <v/>
      </c>
      <c r="D50" s="28">
        <f>('DCF'!$D$97/A50)^(1/7)-1</f>
        <v/>
      </c>
      <c r="E50" s="28">
        <f>('DCF'!$D$97/A50)^(1/10)-1</f>
        <v/>
      </c>
      <c r="F50" s="61">
        <f>'DCF'!$D$97</f>
        <v/>
      </c>
    </row>
    <row r="52">
      <c r="A52" s="59" t="inlineStr">
        <is>
          <t>Max entry for target IRR</t>
        </is>
      </c>
      <c r="B52" s="60" t="inlineStr">
        <is>
          <t>3 yr</t>
        </is>
      </c>
      <c r="C52" s="60" t="inlineStr">
        <is>
          <t>5 yr</t>
        </is>
      </c>
      <c r="D52" s="60" t="inlineStr">
        <is>
          <t>7 yr</t>
        </is>
      </c>
      <c r="E52" s="60" t="inlineStr">
        <is>
          <t>10 yr</t>
        </is>
      </c>
    </row>
    <row r="53">
      <c r="A53" s="6" t="inlineStr">
        <is>
          <t xml:space="preserve">  10% IRR target</t>
        </is>
      </c>
      <c r="B53" s="54">
        <f>'DCF'!$D$97/(1+0.1)^3</f>
        <v/>
      </c>
      <c r="C53" s="54">
        <f>'DCF'!$D$97/(1+0.1)^5</f>
        <v/>
      </c>
      <c r="D53" s="54">
        <f>'DCF'!$D$97/(1+0.1)^7</f>
        <v/>
      </c>
      <c r="E53" s="54">
        <f>'DCF'!$D$97/(1+0.1)^10</f>
        <v/>
      </c>
    </row>
    <row r="54">
      <c r="A54" s="6" t="inlineStr">
        <is>
          <t xml:space="preserve">  15% IRR target</t>
        </is>
      </c>
      <c r="B54" s="54">
        <f>'DCF'!$D$97/(1+0.15)^3</f>
        <v/>
      </c>
      <c r="C54" s="54">
        <f>'DCF'!$D$97/(1+0.15)^5</f>
        <v/>
      </c>
      <c r="D54" s="54">
        <f>'DCF'!$D$97/(1+0.15)^7</f>
        <v/>
      </c>
      <c r="E54" s="54">
        <f>'DCF'!$D$97/(1+0.15)^10</f>
        <v/>
      </c>
    </row>
    <row r="55">
      <c r="A55" s="14" t="inlineStr">
        <is>
          <t xml:space="preserve">  20% IRR target</t>
        </is>
      </c>
      <c r="B55" s="50">
        <f>'DCF'!$D$97/(1+0.2)^3</f>
        <v/>
      </c>
      <c r="C55" s="50">
        <f>'DCF'!$D$97/(1+0.2)^5</f>
        <v/>
      </c>
      <c r="D55" s="50">
        <f>'DCF'!$D$97/(1+0.2)^7</f>
        <v/>
      </c>
      <c r="E55" s="50">
        <f>'DCF'!$D$97/(1+0.2)^10</f>
        <v/>
      </c>
    </row>
    <row r="56">
      <c r="A56" s="6" t="inlineStr">
        <is>
          <t xml:space="preserve">  25% IRR target</t>
        </is>
      </c>
      <c r="B56" s="54">
        <f>'DCF'!$D$97/(1+0.25)^3</f>
        <v/>
      </c>
      <c r="C56" s="54">
        <f>'DCF'!$D$97/(1+0.25)^5</f>
        <v/>
      </c>
      <c r="D56" s="54">
        <f>'DCF'!$D$97/(1+0.25)^7</f>
        <v/>
      </c>
      <c r="E56" s="54">
        <f>'DCF'!$D$97/(1+0.25)^10</f>
        <v/>
      </c>
    </row>
    <row r="57">
      <c r="A57" s="6" t="inlineStr">
        <is>
          <t xml:space="preserve">  30% IRR target</t>
        </is>
      </c>
      <c r="B57" s="54">
        <f>'DCF'!$D$97/(1+0.3)^3</f>
        <v/>
      </c>
      <c r="C57" s="54">
        <f>'DCF'!$D$97/(1+0.3)^5</f>
        <v/>
      </c>
      <c r="D57" s="54">
        <f>'DCF'!$D$97/(1+0.3)^7</f>
        <v/>
      </c>
      <c r="E57" s="54">
        <f>'DCF'!$D$97/(1+0.3)^10</f>
        <v/>
      </c>
    </row>
  </sheetData>
  <printOptions horizontalCentered="0"/>
  <pageMargins left="0.4" right="0.4" top="0.5" bottom="0.5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64" t="inlineStr">
        <is>
          <t>RETURNS — Market Multiple Exit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3">
      <c r="A3" s="3" t="inlineStr">
        <is>
          <t>Approach: B — Market Multiple Exit</t>
        </is>
      </c>
    </row>
    <row r="4">
      <c r="A4" s="18" t="inlineStr">
        <is>
          <t>Multiple chosen: EV/EBITDA on FY30. Rationale: Mature profitable cash-flow generator → EBITDA multiple</t>
        </is>
      </c>
    </row>
    <row r="6">
      <c r="A6" s="66" t="inlineStr">
        <is>
          <t>Peer comps (linked from Assumptions)</t>
        </is>
      </c>
    </row>
    <row r="7">
      <c r="A7" s="67" t="inlineStr">
        <is>
          <t>Peer</t>
        </is>
      </c>
      <c r="B7" s="68" t="inlineStr">
        <is>
          <t>EV/NTM Rev</t>
        </is>
      </c>
      <c r="C7" s="68" t="inlineStr">
        <is>
          <t>NTM Rev CAGR</t>
        </is>
      </c>
      <c r="D7" s="68" t="inlineStr">
        <is>
          <t>NTM EBITDA Margin</t>
        </is>
      </c>
      <c r="E7" s="68" t="inlineStr">
        <is>
          <t>EV/NTM EBITDA</t>
        </is>
      </c>
    </row>
    <row r="8">
      <c r="A8" s="69" t="inlineStr">
        <is>
          <t>Peer A</t>
        </is>
      </c>
      <c r="B8" s="33" t="n">
        <v>4.2</v>
      </c>
      <c r="C8" s="27" t="n">
        <v>0.14</v>
      </c>
      <c r="D8" s="27" t="n">
        <v>0.22</v>
      </c>
      <c r="E8" s="33" t="n">
        <v>19</v>
      </c>
    </row>
    <row r="9">
      <c r="A9" s="69" t="inlineStr">
        <is>
          <t>Peer B</t>
        </is>
      </c>
      <c r="B9" s="33" t="n">
        <v>3.5</v>
      </c>
      <c r="C9" s="27" t="n">
        <v>0.1</v>
      </c>
      <c r="D9" s="27" t="n">
        <v>0.18</v>
      </c>
      <c r="E9" s="33" t="n">
        <v>16.5</v>
      </c>
    </row>
    <row r="10">
      <c r="A10" s="69" t="inlineStr">
        <is>
          <t>Peer C</t>
        </is>
      </c>
      <c r="B10" s="33" t="n">
        <v>5.1</v>
      </c>
      <c r="C10" s="27" t="n">
        <v>0.18</v>
      </c>
      <c r="D10" s="27" t="n">
        <v>0.25</v>
      </c>
      <c r="E10" s="33" t="n">
        <v>21</v>
      </c>
    </row>
    <row r="11">
      <c r="A11" s="69" t="inlineStr">
        <is>
          <t>Peer D</t>
        </is>
      </c>
      <c r="B11" s="33" t="n">
        <v>2.8</v>
      </c>
      <c r="C11" s="27" t="n">
        <v>0.08</v>
      </c>
      <c r="D11" s="27" t="n">
        <v>0.16</v>
      </c>
      <c r="E11" s="33" t="n">
        <v>14</v>
      </c>
    </row>
    <row r="13">
      <c r="A13" s="66" t="inlineStr">
        <is>
          <t>Exit multiple range</t>
        </is>
      </c>
    </row>
    <row r="14">
      <c r="A14" s="11" t="inlineStr"/>
      <c r="B14" s="68" t="inlineStr">
        <is>
          <t>Bear</t>
        </is>
      </c>
      <c r="C14" s="68" t="inlineStr">
        <is>
          <t>Base</t>
        </is>
      </c>
      <c r="D14" s="68" t="inlineStr">
        <is>
          <t>Bull</t>
        </is>
      </c>
    </row>
    <row r="15">
      <c r="A15" s="6" t="inlineStr">
        <is>
          <t>Multiple (EV/EBITDA, FY30)</t>
        </is>
      </c>
      <c r="B15" s="70">
        <f>'Assumptions'!$B$58</f>
        <v/>
      </c>
      <c r="C15" s="70">
        <f>'Assumptions'!$C$58</f>
        <v/>
      </c>
      <c r="D15" s="70">
        <f>'Assumptions'!$D$58</f>
        <v/>
      </c>
    </row>
    <row r="16">
      <c r="A16" s="6" t="inlineStr">
        <is>
          <t>EBITDA (FY30)</t>
        </is>
      </c>
      <c r="B16" s="13">
        <f>'DCF'!$H$21</f>
        <v/>
      </c>
      <c r="C16" s="13">
        <f>'DCF'!$H$24</f>
        <v/>
      </c>
      <c r="D16" s="13">
        <f>'DCF'!$H$27</f>
        <v/>
      </c>
    </row>
    <row r="17">
      <c r="A17" s="6" t="inlineStr">
        <is>
          <t>Implied EV at exit</t>
        </is>
      </c>
      <c r="B17" s="37">
        <f>B16*B15</f>
        <v/>
      </c>
      <c r="C17" s="37">
        <f>C16*C15</f>
        <v/>
      </c>
      <c r="D17" s="37">
        <f>D16*D15</f>
        <v/>
      </c>
    </row>
    <row r="18">
      <c r="A18" s="6" t="inlineStr">
        <is>
          <t>+ Net Cash</t>
        </is>
      </c>
      <c r="B18" s="13">
        <f>'Assumptions'!$B$10</f>
        <v/>
      </c>
      <c r="C18" s="13">
        <f>'Assumptions'!$B$10</f>
        <v/>
      </c>
      <c r="D18" s="13">
        <f>'Assumptions'!$B$10</f>
        <v/>
      </c>
    </row>
    <row r="19">
      <c r="A19" s="3" t="inlineStr">
        <is>
          <t>Implied Equity Value</t>
        </is>
      </c>
      <c r="B19" s="48">
        <f>B17+B18</f>
        <v/>
      </c>
      <c r="C19" s="48">
        <f>C17+C18</f>
        <v/>
      </c>
      <c r="D19" s="48">
        <f>D17+D18</f>
        <v/>
      </c>
    </row>
    <row r="20">
      <c r="A20" s="14" t="inlineStr">
        <is>
          <t>Implied Exit Price</t>
        </is>
      </c>
      <c r="B20" s="50">
        <f>B19/'Assumptions'!$B$9</f>
        <v/>
      </c>
      <c r="C20" s="50">
        <f>C19/'Assumptions'!$B$9</f>
        <v/>
      </c>
      <c r="D20" s="50">
        <f>D19/'Assumptions'!$B$9</f>
        <v/>
      </c>
    </row>
    <row r="22">
      <c r="A22" s="66" t="inlineStr">
        <is>
          <t>IRR sensitivity (Base scenario)</t>
        </is>
      </c>
    </row>
    <row r="23">
      <c r="A23" s="3" t="inlineStr">
        <is>
          <t>Entry ↓ / Exit multiple →</t>
        </is>
      </c>
      <c r="B23" s="71">
        <f>C15*(1+-0.3)</f>
        <v/>
      </c>
      <c r="C23" s="71">
        <f>C15*(1+-0.15)</f>
        <v/>
      </c>
      <c r="D23" s="71">
        <f>C15*(1+0.0)</f>
        <v/>
      </c>
      <c r="E23" s="71">
        <f>C15*(1+0.14999999999999997)</f>
        <v/>
      </c>
      <c r="F23" s="71">
        <f>C15*(1+0.3)</f>
        <v/>
      </c>
    </row>
    <row r="24">
      <c r="A24" s="18" t="inlineStr">
        <is>
          <t>(holding period assumed: 5y)</t>
        </is>
      </c>
    </row>
    <row r="25">
      <c r="A25" s="54">
        <f>'Assumptions'!$B$8*(1+-0.3)</f>
        <v/>
      </c>
      <c r="B25" s="28">
        <f>((C16*$B$23+'Assumptions'!$B$10)/'Assumptions'!$B$9/A25)^(1/5)-1</f>
        <v/>
      </c>
      <c r="C25" s="28">
        <f>((C16*$C$23+'Assumptions'!$B$10)/'Assumptions'!$B$9/A25)^(1/5)-1</f>
        <v/>
      </c>
      <c r="D25" s="28">
        <f>((C16*$D$23+'Assumptions'!$B$10)/'Assumptions'!$B$9/A25)^(1/5)-1</f>
        <v/>
      </c>
      <c r="E25" s="28">
        <f>((C16*$E$23+'Assumptions'!$B$10)/'Assumptions'!$B$9/A25)^(1/5)-1</f>
        <v/>
      </c>
      <c r="F25" s="28">
        <f>((C16*$F$23+'Assumptions'!$B$10)/'Assumptions'!$B$9/A25)^(1/5)-1</f>
        <v/>
      </c>
    </row>
    <row r="26">
      <c r="A26" s="54">
        <f>'Assumptions'!$B$8*(1+-0.2)</f>
        <v/>
      </c>
      <c r="B26" s="28">
        <f>((C16*$B$23+'Assumptions'!$B$10)/'Assumptions'!$B$9/A26)^(1/5)-1</f>
        <v/>
      </c>
      <c r="C26" s="28">
        <f>((C16*$C$23+'Assumptions'!$B$10)/'Assumptions'!$B$9/A26)^(1/5)-1</f>
        <v/>
      </c>
      <c r="D26" s="28">
        <f>((C16*$D$23+'Assumptions'!$B$10)/'Assumptions'!$B$9/A26)^(1/5)-1</f>
        <v/>
      </c>
      <c r="E26" s="28">
        <f>((C16*$E$23+'Assumptions'!$B$10)/'Assumptions'!$B$9/A26)^(1/5)-1</f>
        <v/>
      </c>
      <c r="F26" s="28">
        <f>((C16*$F$23+'Assumptions'!$B$10)/'Assumptions'!$B$9/A26)^(1/5)-1</f>
        <v/>
      </c>
    </row>
    <row r="27">
      <c r="A27" s="54">
        <f>'Assumptions'!$B$8*(1+-0.1)</f>
        <v/>
      </c>
      <c r="B27" s="28">
        <f>((C16*$B$23+'Assumptions'!$B$10)/'Assumptions'!$B$9/A27)^(1/5)-1</f>
        <v/>
      </c>
      <c r="C27" s="28">
        <f>((C16*$C$23+'Assumptions'!$B$10)/'Assumptions'!$B$9/A27)^(1/5)-1</f>
        <v/>
      </c>
      <c r="D27" s="28">
        <f>((C16*$D$23+'Assumptions'!$B$10)/'Assumptions'!$B$9/A27)^(1/5)-1</f>
        <v/>
      </c>
      <c r="E27" s="28">
        <f>((C16*$E$23+'Assumptions'!$B$10)/'Assumptions'!$B$9/A27)^(1/5)-1</f>
        <v/>
      </c>
      <c r="F27" s="28">
        <f>((C16*$F$23+'Assumptions'!$B$10)/'Assumptions'!$B$9/A27)^(1/5)-1</f>
        <v/>
      </c>
    </row>
    <row r="28">
      <c r="A28" s="62">
        <f>'Assumptions'!$B$8*(1+0.0)</f>
        <v/>
      </c>
      <c r="B28" s="63">
        <f>((C16*$B$23+'Assumptions'!$B$10)/'Assumptions'!$B$9/A28)^(1/5)-1</f>
        <v/>
      </c>
      <c r="C28" s="63">
        <f>((C16*$C$23+'Assumptions'!$B$10)/'Assumptions'!$B$9/A28)^(1/5)-1</f>
        <v/>
      </c>
      <c r="D28" s="63">
        <f>((C16*$D$23+'Assumptions'!$B$10)/'Assumptions'!$B$9/A28)^(1/5)-1</f>
        <v/>
      </c>
      <c r="E28" s="63">
        <f>((C16*$E$23+'Assumptions'!$B$10)/'Assumptions'!$B$9/A28)^(1/5)-1</f>
        <v/>
      </c>
      <c r="F28" s="63">
        <f>((C16*$F$23+'Assumptions'!$B$10)/'Assumptions'!$B$9/A28)^(1/5)-1</f>
        <v/>
      </c>
    </row>
    <row r="29">
      <c r="A29" s="54">
        <f>'Assumptions'!$B$8*(1+0.1)</f>
        <v/>
      </c>
      <c r="B29" s="28">
        <f>((C16*$B$23+'Assumptions'!$B$10)/'Assumptions'!$B$9/A29)^(1/5)-1</f>
        <v/>
      </c>
      <c r="C29" s="28">
        <f>((C16*$C$23+'Assumptions'!$B$10)/'Assumptions'!$B$9/A29)^(1/5)-1</f>
        <v/>
      </c>
      <c r="D29" s="28">
        <f>((C16*$D$23+'Assumptions'!$B$10)/'Assumptions'!$B$9/A29)^(1/5)-1</f>
        <v/>
      </c>
      <c r="E29" s="28">
        <f>((C16*$E$23+'Assumptions'!$B$10)/'Assumptions'!$B$9/A29)^(1/5)-1</f>
        <v/>
      </c>
      <c r="F29" s="28">
        <f>((C16*$F$23+'Assumptions'!$B$10)/'Assumptions'!$B$9/A29)^(1/5)-1</f>
        <v/>
      </c>
    </row>
    <row r="30">
      <c r="A30" s="54">
        <f>'Assumptions'!$B$8*(1+0.2)</f>
        <v/>
      </c>
      <c r="B30" s="28">
        <f>((C16*$B$23+'Assumptions'!$B$10)/'Assumptions'!$B$9/A30)^(1/5)-1</f>
        <v/>
      </c>
      <c r="C30" s="28">
        <f>((C16*$C$23+'Assumptions'!$B$10)/'Assumptions'!$B$9/A30)^(1/5)-1</f>
        <v/>
      </c>
      <c r="D30" s="28">
        <f>((C16*$D$23+'Assumptions'!$B$10)/'Assumptions'!$B$9/A30)^(1/5)-1</f>
        <v/>
      </c>
      <c r="E30" s="28">
        <f>((C16*$E$23+'Assumptions'!$B$10)/'Assumptions'!$B$9/A30)^(1/5)-1</f>
        <v/>
      </c>
      <c r="F30" s="28">
        <f>((C16*$F$23+'Assumptions'!$B$10)/'Assumptions'!$B$9/A30)^(1/5)-1</f>
        <v/>
      </c>
    </row>
    <row r="31">
      <c r="A31" s="54">
        <f>'Assumptions'!$B$8*(1+0.3)</f>
        <v/>
      </c>
      <c r="B31" s="28">
        <f>((C16*$B$23+'Assumptions'!$B$10)/'Assumptions'!$B$9/A31)^(1/5)-1</f>
        <v/>
      </c>
      <c r="C31" s="28">
        <f>((C16*$C$23+'Assumptions'!$B$10)/'Assumptions'!$B$9/A31)^(1/5)-1</f>
        <v/>
      </c>
      <c r="D31" s="28">
        <f>((C16*$D$23+'Assumptions'!$B$10)/'Assumptions'!$B$9/A31)^(1/5)-1</f>
        <v/>
      </c>
      <c r="E31" s="28">
        <f>((C16*$E$23+'Assumptions'!$B$10)/'Assumptions'!$B$9/A31)^(1/5)-1</f>
        <v/>
      </c>
      <c r="F31" s="28">
        <f>((C16*$F$23+'Assumptions'!$B$10)/'Assumptions'!$B$9/A31)^(1/5)-1</f>
        <v/>
      </c>
    </row>
    <row r="33">
      <c r="A33" s="66" t="inlineStr">
        <is>
          <t>Max entry for target IRR (Base multiple)</t>
        </is>
      </c>
    </row>
    <row r="34">
      <c r="A34" s="3" t="inlineStr">
        <is>
          <t>Target IRR →</t>
        </is>
      </c>
      <c r="B34" s="72" t="inlineStr">
        <is>
          <t>10%</t>
        </is>
      </c>
      <c r="C34" s="72" t="inlineStr">
        <is>
          <t>15%</t>
        </is>
      </c>
      <c r="D34" s="72" t="inlineStr">
        <is>
          <t>20%</t>
        </is>
      </c>
      <c r="E34" s="72" t="inlineStr">
        <is>
          <t>25%</t>
        </is>
      </c>
      <c r="F34" s="72" t="inlineStr">
        <is>
          <t>30%</t>
        </is>
      </c>
    </row>
    <row r="35">
      <c r="A35" s="6" t="inlineStr">
        <is>
          <t>Max entry (5y holding)</t>
        </is>
      </c>
      <c r="B35" s="54">
        <f>C20/(1+0.1)^5</f>
        <v/>
      </c>
      <c r="C35" s="54">
        <f>C20/(1+0.15)^5</f>
        <v/>
      </c>
      <c r="D35" s="50">
        <f>C20/(1+0.2)^5</f>
        <v/>
      </c>
      <c r="E35" s="54">
        <f>C20/(1+0.25)^5</f>
        <v/>
      </c>
      <c r="F35" s="54">
        <f>C20/(1+0.3)^5</f>
        <v/>
      </c>
    </row>
    <row r="37">
      <c r="A37" s="66" t="inlineStr">
        <is>
          <t>SYNTHESIS — Approach A (DCF) vs B (Multiple)</t>
        </is>
      </c>
    </row>
    <row r="38">
      <c r="A38" s="67" t="inlineStr"/>
      <c r="B38" s="68" t="inlineStr">
        <is>
          <t>Bear</t>
        </is>
      </c>
      <c r="C38" s="68" t="inlineStr">
        <is>
          <t>Base</t>
        </is>
      </c>
      <c r="D38" s="68" t="inlineStr">
        <is>
          <t>Bull</t>
        </is>
      </c>
    </row>
    <row r="39">
      <c r="A39" s="6" t="inlineStr">
        <is>
          <t>A) DCF intrinsic price</t>
        </is>
      </c>
      <c r="B39" s="61">
        <f>'DCF'!$B$97</f>
        <v/>
      </c>
      <c r="C39" s="61">
        <f>'DCF'!$C$97</f>
        <v/>
      </c>
      <c r="D39" s="61">
        <f>'DCF'!$D$97</f>
        <v/>
      </c>
    </row>
    <row r="40">
      <c r="A40" s="6" t="inlineStr">
        <is>
          <t>B) Multiple-based exit price</t>
        </is>
      </c>
      <c r="B40" s="54">
        <f>B20</f>
        <v/>
      </c>
      <c r="C40" s="54">
        <f>C20</f>
        <v/>
      </c>
      <c r="D40" s="54">
        <f>D20</f>
        <v/>
      </c>
    </row>
    <row r="41">
      <c r="A41" s="6" t="inlineStr">
        <is>
          <t>Upside vs CMP — A</t>
        </is>
      </c>
      <c r="B41" s="28">
        <f>B39/'Assumptions'!$B$8-1</f>
        <v/>
      </c>
      <c r="C41" s="28">
        <f>C39/'Assumptions'!$B$8-1</f>
        <v/>
      </c>
      <c r="D41" s="28">
        <f>D39/'Assumptions'!$B$8-1</f>
        <v/>
      </c>
    </row>
    <row r="42">
      <c r="A42" s="6" t="inlineStr">
        <is>
          <t>Upside vs CMP — B</t>
        </is>
      </c>
      <c r="B42" s="28">
        <f>B40/'Assumptions'!$B$8-1</f>
        <v/>
      </c>
      <c r="C42" s="28">
        <f>C40/'Assumptions'!$B$8-1</f>
        <v/>
      </c>
      <c r="D42" s="28">
        <f>D40/'Assumptions'!$B$8-1</f>
        <v/>
      </c>
    </row>
    <row r="43">
      <c r="A43" s="6" t="inlineStr">
        <is>
          <t>IRR at CMP (assumes 5y holding) — A</t>
        </is>
      </c>
      <c r="B43" s="28">
        <f>(B39/'Assumptions'!$B$8)^(1/5)-1</f>
        <v/>
      </c>
      <c r="C43" s="28">
        <f>(C39/'Assumptions'!$B$8)^(1/5)-1</f>
        <v/>
      </c>
      <c r="D43" s="28">
        <f>(D39/'Assumptions'!$B$8)^(1/5)-1</f>
        <v/>
      </c>
    </row>
    <row r="44">
      <c r="A44" s="6" t="inlineStr">
        <is>
          <t>IRR at CMP (assumes 5y holding) — B</t>
        </is>
      </c>
      <c r="B44" s="28">
        <f>(B40/'Assumptions'!$B$8)^(1/5)-1</f>
        <v/>
      </c>
      <c r="C44" s="28">
        <f>(C40/'Assumptions'!$B$8)^(1/5)-1</f>
        <v/>
      </c>
      <c r="D44" s="28">
        <f>(D40/'Assumptions'!$B$8)^(1/5)-1</f>
        <v/>
      </c>
    </row>
  </sheetData>
  <printOptions horizontalCentered="0"/>
  <pageMargins left="0.4" right="0.4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2026-04-17T05:43:18Z</dcterms:created>
  <dcterms:modified xmlns:dcterms="http://purl.org/dc/terms/" xmlns:xsi="http://www.w3.org/2001/XMLSchema-instance" xsi:type="dcterms:W3CDTF">2026-04-17T05:43:18Z</dcterms:modified>
</cp:coreProperties>
</file>